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cb3cc9ff8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NDIO" sheetId="1" r:id="R498970822b554a9c"/>
    <x:sheet xmlns:r="http://schemas.openxmlformats.org/officeDocument/2006/relationships" name="CRITICAL" sheetId="2" r:id="Rb2dc1e58a3224933"/>
    <x:sheet xmlns:r="http://schemas.openxmlformats.org/officeDocument/2006/relationships" name="HIGH" sheetId="3" r:id="R0b680a6780464d4f"/>
    <x:sheet xmlns:r="http://schemas.openxmlformats.org/officeDocument/2006/relationships" name="MEDIUM" sheetId="4" r:id="R0dccb00711654be3"/>
    <x:sheet xmlns:r="http://schemas.openxmlformats.org/officeDocument/2006/relationships" name="ENTREGAS" sheetId="5" r:id="R65e2fb2911c4470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0AD47"/>
      </x:patternFill>
    </x:fill>
    <x:fill>
      <x:patternFill patternType="solid">
        <x:fgColor rgb="FFA9D18E"/>
      </x:patternFill>
    </x:fill>
    <x:fill>
      <x:patternFill patternType="solid">
        <x:fgColor rgb="FFFFD966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12">
    <x:dxf>
      <x:font>
        <x:color rgb="FF000000"/>
      </x:font>
      <x:fill>
        <x:patternFill patternType="solid">
          <x:bgColor rgb="FFA9D18E"/>
        </x:patternFill>
      </x:fill>
    </x:dxf>
    <x:dxf>
      <x:font>
        <x:color rgb="FF000000"/>
      </x:font>
      <x:fill>
        <x:patternFill patternType="solid">
          <x:bgColor rgb="FFFFD966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A9D18E"/>
        </x:patternFill>
      </x:fill>
    </x:dxf>
    <x:dxf>
      <x:font>
        <x:color rgb="FF000000"/>
      </x:font>
      <x:fill>
        <x:patternFill patternType="solid">
          <x:bgColor rgb="FFFFD966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A9D18E"/>
        </x:patternFill>
      </x:fill>
    </x:dxf>
    <x:dxf>
      <x:font>
        <x:color rgb="FF000000"/>
      </x:font>
      <x:fill>
        <x:patternFill patternType="solid">
          <x:bgColor rgb="FFFFD966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A9D18E"/>
        </x:patternFill>
      </x:fill>
    </x:dxf>
    <x:dxf>
      <x:font>
        <x:color rgb="FF000000"/>
      </x:font>
      <x:fill>
        <x:patternFill patternType="solid">
          <x:bgColor rgb="FFFFD966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6ea50ed9749f8" /><Relationship Type="http://schemas.openxmlformats.org/officeDocument/2006/relationships/theme" Target="/xl/theme/theme1.xml" Id="Rc1080ea67a754c15" /><Relationship Type="http://schemas.openxmlformats.org/officeDocument/2006/relationships/sheetMetadata" Target="/xl/metadata1.xml" Id="R94ed3ddaca274b0e" /><Relationship Type="http://schemas.openxmlformats.org/officeDocument/2006/relationships/sharedStrings" Target="/xl/sharedStrings.xml" Id="R3adc87f24c574930" /><Relationship Type="http://schemas.openxmlformats.org/officeDocument/2006/relationships/worksheet" Target="/xl/worksheets/sheet1.xml" Id="R498970822b554a9c" /><Relationship Type="http://schemas.openxmlformats.org/officeDocument/2006/relationships/worksheet" Target="/xl/worksheets/sheet2.xml" Id="Rb2dc1e58a3224933" /><Relationship Type="http://schemas.openxmlformats.org/officeDocument/2006/relationships/worksheet" Target="/xl/worksheets/sheet3.xml" Id="R0b680a6780464d4f" /><Relationship Type="http://schemas.openxmlformats.org/officeDocument/2006/relationships/worksheet" Target="/xl/worksheets/sheet4.xml" Id="R0dccb00711654be3" /><Relationship Type="http://schemas.openxmlformats.org/officeDocument/2006/relationships/worksheet" Target="/xl/worksheets/sheet5.xml" Id="R65e2fb2911c4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34" hidden="0" customWidth="1"/>
    <x:col min="5" max="5" width="38" hidden="0" customWidth="1"/>
    <x:col min="6" max="6" width="14" hidden="0" customWidth="1"/>
    <x:col min="7" max="7" width="18" hidden="0" customWidth="1"/>
    <x:col min="8" max="8" width="18" hidden="0" customWidth="1"/>
    <x:col min="9" max="9" width="10" hidden="0" customWidth="1"/>
    <x:col min="10" max="10" width="14" hidden="0" customWidth="1"/>
    <x:col min="11" max="11" width="16" hidden="0" customWidth="1"/>
    <x:col min="12" max="12" width="20" hidden="0" customWidth="1"/>
    <x:col min="13" max="13" width="52" hidden="0" customWidth="1"/>
    <x:col min="15" max="15" width="16" hidden="0" customWidth="1"/>
  </x:cols>
  <x:sheetData>
    <x:row r="2" ht="15" hidden="0" customHeight="1">
      <x:c r="A2" s="2" t="str">
        <x:v>COMPENDIO DE VULNERABILIDADES SIAJ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2" t="str">
        <x:v>ESTATUS</x:v>
      </x:c>
    </x:row>
    <x:row r="4" ht="15" hidden="0" customHeight="1">
      <x:c r="A4" s="6" t="str">
        <x:v>ID</x:v>
      </x:c>
      <x:c r="B4" s="6" t="str">
        <x:v>Scanner</x:v>
      </x:c>
      <x:c r="C4" s="6" t="str">
        <x:v>Gravedad</x:v>
      </x:c>
      <x:c r="D4" s="6" t="str">
        <x:v>Vulnerabilidad</x:v>
      </x:c>
      <x:c r="E4" s="6" t="str">
        <x:v>Package Name</x:v>
      </x:c>
      <x:c r="F4" s="6" t="str">
        <x:v>Version</x:v>
      </x:c>
      <x:c r="G4" s="6" t="str">
        <x:v>Categoria</x:v>
      </x:c>
      <x:c r="H4" s="6" t="str">
        <x:v>CVE</x:v>
      </x:c>
      <x:c r="I4" s="6" t="str">
        <x:v>PaginaDF</x:v>
      </x:c>
      <x:c r="J4" s="6" t="str">
        <x:v>ESTADO</x:v>
      </x:c>
      <x:c r="K4" s="6" t="str">
        <x:v>Fecha tentativa</x:v>
      </x:c>
      <x:c r="L4" s="6" t="str">
        <x:v>Entrega</x:v>
      </x:c>
      <x:c r="M4" s="6" t="str">
        <x:v>Observaciones</x:v>
      </x:c>
      <x:c r="N4" s="17"/>
      <x:c r="O4" s="11" t="str">
        <x:v>RESUELTO</x:v>
      </x:c>
    </x:row>
    <x:row r="5" ht="15" hidden="0" customHeight="1">
      <x:c r="A5" s="7" t="str">
        <x:v>SIAJ-0001</x:v>
      </x:c>
      <x:c r="B5" s="7" t="str">
        <x:v>SAST</x:v>
      </x:c>
      <x:c r="C5" s="7" t="str">
        <x:v>HIGH</x:v>
      </x:c>
      <x:c r="D5" s="8" t="str">
        <x:v>Absolute_Path_Traversal 1/4</x:v>
      </x:c>
      <x:c r="E5" s="7" t="str">
        <x:v>Código fuente Java</x:v>
      </x:c>
      <x:c r="F5" s="7" t="str"/>
      <x:c r="G5" s="7" t="str">
        <x:v>CWE-36</x:v>
      </x:c>
      <x:c r="H5" s="7" t="str"/>
      <x:c r="I5" s="7" t="n">
        <x:v>11</x:v>
      </x:c>
      <x:c r="J5" s="9" t="str">
        <x:v>EN PROCESO</x:v>
      </x:c>
      <x:c r="K5" s="10" t="n">
        <x:v>46254</x:v>
      </x:c>
      <x:c r="L5" s="7" t="str">
        <x:v>Avance 2026-08-20</x:v>
      </x:c>
      <x:c r="M5" s="8" t="str">
        <x:v>Candidato para primer avance por impacto y alcance acotado.</x:v>
      </x:c>
      <x:c r="N5" s="17"/>
      <x:c r="O5" s="12" t="str">
        <x:v>EN PROCESO</x:v>
      </x:c>
    </x:row>
    <x:row r="6" ht="15" hidden="0" customHeight="1">
      <x:c r="A6" s="7" t="str">
        <x:v>SIAJ-0002</x:v>
      </x:c>
      <x:c r="B6" s="7" t="str">
        <x:v>SAST</x:v>
      </x:c>
      <x:c r="C6" s="7" t="str">
        <x:v>HIGH</x:v>
      </x:c>
      <x:c r="D6" s="8" t="str">
        <x:v>Absolute_Path_Traversal 2/4</x:v>
      </x:c>
      <x:c r="E6" s="7" t="str">
        <x:v>Código fuente Java</x:v>
      </x:c>
      <x:c r="F6" s="7" t="str"/>
      <x:c r="G6" s="7" t="str">
        <x:v>CWE-36</x:v>
      </x:c>
      <x:c r="H6" s="7" t="str"/>
      <x:c r="I6" s="7" t="n">
        <x:v>11</x:v>
      </x:c>
      <x:c r="J6" s="9" t="str">
        <x:v>EN PROCESO</x:v>
      </x:c>
      <x:c r="K6" s="10" t="n">
        <x:v>46254</x:v>
      </x:c>
      <x:c r="L6" s="7" t="str">
        <x:v>Avance 2026-08-20</x:v>
      </x:c>
      <x:c r="M6" s="8" t="str">
        <x:v>Candidato para primer avance por impacto y alcance acotado.</x:v>
      </x:c>
      <x:c r="N6" s="17"/>
      <x:c r="O6" s="13" t="str">
        <x:v>PENDIENTE</x:v>
      </x:c>
    </x:row>
    <x:row r="7" ht="15" hidden="0" customHeight="1">
      <x:c r="A7" s="7" t="str">
        <x:v>SIAJ-0003</x:v>
      </x:c>
      <x:c r="B7" s="7" t="str">
        <x:v>SAST</x:v>
      </x:c>
      <x:c r="C7" s="7" t="str">
        <x:v>HIGH</x:v>
      </x:c>
      <x:c r="D7" s="8" t="str">
        <x:v>Absolute_Path_Traversal 3/4</x:v>
      </x:c>
      <x:c r="E7" s="7" t="str">
        <x:v>Código fuente Java</x:v>
      </x:c>
      <x:c r="F7" s="7" t="str"/>
      <x:c r="G7" s="7" t="str">
        <x:v>CWE-36</x:v>
      </x:c>
      <x:c r="H7" s="7" t="str"/>
      <x:c r="I7" s="7" t="n">
        <x:v>11</x:v>
      </x:c>
      <x:c r="J7" s="9" t="str">
        <x:v>EN PROCESO</x:v>
      </x:c>
      <x:c r="K7" s="10" t="n">
        <x:v>46254</x:v>
      </x:c>
      <x:c r="L7" s="7" t="str">
        <x:v>Avance 2026-08-20</x:v>
      </x:c>
      <x:c r="M7" s="8" t="str">
        <x:v>Candidato para primer avance por impacto y alcance acotado.</x:v>
      </x:c>
      <x:c r="N7" s="17"/>
      <x:c r="O7" s="17"/>
    </x:row>
    <x:row r="8" ht="15" hidden="0" customHeight="1">
      <x:c r="A8" s="7" t="str">
        <x:v>SIAJ-0004</x:v>
      </x:c>
      <x:c r="B8" s="7" t="str">
        <x:v>SAST</x:v>
      </x:c>
      <x:c r="C8" s="7" t="str">
        <x:v>HIGH</x:v>
      </x:c>
      <x:c r="D8" s="8" t="str">
        <x:v>Absolute_Path_Traversal 4/4</x:v>
      </x:c>
      <x:c r="E8" s="7" t="str">
        <x:v>Código fuente Java</x:v>
      </x:c>
      <x:c r="F8" s="7" t="str"/>
      <x:c r="G8" s="7" t="str">
        <x:v>CWE-36</x:v>
      </x:c>
      <x:c r="H8" s="7" t="str"/>
      <x:c r="I8" s="7" t="n">
        <x:v>11</x:v>
      </x:c>
      <x:c r="J8" s="9" t="str">
        <x:v>EN PROCESO</x:v>
      </x:c>
      <x:c r="K8" s="10" t="n">
        <x:v>46254</x:v>
      </x:c>
      <x:c r="L8" s="7" t="str">
        <x:v>Avance 2026-08-20</x:v>
      </x:c>
      <x:c r="M8" s="8" t="str">
        <x:v>Candidato para primer avance por impacto y alcance acotado.</x:v>
      </x:c>
      <x:c r="N8" s="17"/>
      <x:c r="O8" s="17"/>
    </x:row>
    <x:row r="9" ht="26.399999618530273" hidden="0" customHeight="1">
      <x:c r="A9" s="7" t="str">
        <x:v>SIAJ-0215</x:v>
      </x:c>
      <x:c r="B9" s="7" t="str">
        <x:v>SCA</x:v>
      </x:c>
      <x:c r="C9" s="7" t="str">
        <x:v>HIGH</x:v>
      </x:c>
      <x:c r="D9" s="8" t="str">
        <x:v>Dependencia xlsx-0.18.5</x:v>
      </x:c>
      <x:c r="E9" s="7" t="str">
        <x:v>xlsx</x:v>
      </x:c>
      <x:c r="F9" s="7" t="str">
        <x:v>0.18.5</x:v>
      </x:c>
      <x:c r="G9" s="7" t="str">
        <x:v>CWE-1333</x:v>
      </x:c>
      <x:c r="H9" s="7" t="str">
        <x:v>CVE-2024-22363</x:v>
      </x:c>
      <x:c r="I9" s="7" t="n">
        <x:v>116</x:v>
      </x:c>
      <x:c r="J9" s="9" t="str">
        <x:v>EN PROCESO</x:v>
      </x:c>
      <x:c r="K9" s="10" t="n">
        <x:v>46254</x:v>
      </x:c>
      <x:c r="L9" s="7" t="str">
        <x:v>Avance 2026-08-20</x:v>
      </x:c>
      <x:c r="M9" s="8" t="str">
        <x:v>Candidato para primer avance: actualización de dependencia acotada.</x:v>
      </x:c>
      <x:c r="N9" s="17"/>
      <x:c r="O9" s="17"/>
    </x:row>
    <x:row r="10" ht="26.399999618530273" hidden="0" customHeight="1">
      <x:c r="A10" s="7" t="str">
        <x:v>SIAJ-0216</x:v>
      </x:c>
      <x:c r="B10" s="7" t="str">
        <x:v>SCA</x:v>
      </x:c>
      <x:c r="C10" s="7" t="str">
        <x:v>HIGH</x:v>
      </x:c>
      <x:c r="D10" s="8" t="str">
        <x:v>Dependencia xlsx-0.18.5</x:v>
      </x:c>
      <x:c r="E10" s="7" t="str">
        <x:v>xlsx</x:v>
      </x:c>
      <x:c r="F10" s="7" t="str">
        <x:v>0.18.5</x:v>
      </x:c>
      <x:c r="G10" s="7" t="str">
        <x:v>CWE-1321</x:v>
      </x:c>
      <x:c r="H10" s="7" t="str">
        <x:v>CVE-2023-30533</x:v>
      </x:c>
      <x:c r="I10" s="7" t="n">
        <x:v>116</x:v>
      </x:c>
      <x:c r="J10" s="9" t="str">
        <x:v>EN PROCESO</x:v>
      </x:c>
      <x:c r="K10" s="10" t="n">
        <x:v>46254</x:v>
      </x:c>
      <x:c r="L10" s="7" t="str">
        <x:v>Avance 2026-08-20</x:v>
      </x:c>
      <x:c r="M10" s="8" t="str">
        <x:v>Candidato para primer avance: actualización de dependencia acotada.</x:v>
      </x:c>
      <x:c r="N10" s="17"/>
      <x:c r="O10" s="17"/>
    </x:row>
    <x:row r="11" ht="26.399999618530273" hidden="0" customHeight="1">
      <x:c r="A11" s="7" t="str">
        <x:v>SIAJ-0510</x:v>
      </x:c>
      <x:c r="B11" s="7" t="str">
        <x:v>SCS</x:v>
      </x:c>
      <x:c r="C11" s="7" t="str">
        <x:v>HIGH</x:v>
      </x:c>
      <x:c r="D11" s="8" t="str">
        <x:v>Secret Detection 1/3</x:v>
      </x:c>
      <x:c r="E11" s="7" t="str">
        <x:v>Configuración / secretos</x:v>
      </x:c>
      <x:c r="F11" s="7" t="str"/>
      <x:c r="G11" s="7" t="str">
        <x:v>Secret Detection</x:v>
      </x:c>
      <x:c r="H11" s="7" t="str"/>
      <x:c r="I11" s="7" t="n">
        <x:v>222</x:v>
      </x:c>
      <x:c r="J11" s="9" t="str">
        <x:v>EN PROCESO</x:v>
      </x:c>
      <x:c r="K11" s="10" t="n">
        <x:v>46254</x:v>
      </x:c>
      <x:c r="L11" s="7" t="str">
        <x:v>Avance 2026-08-20</x:v>
      </x:c>
      <x:c r="M11" s="8" t="str">
        <x:v>Validar si corresponde a secreto real, rotar si aplica y retirar del repositorio/configuración.</x:v>
      </x:c>
      <x:c r="N11" s="17"/>
      <x:c r="O11" s="17"/>
    </x:row>
    <x:row r="12" ht="26.399999618530273" hidden="0" customHeight="1">
      <x:c r="A12" s="7" t="str">
        <x:v>SIAJ-0511</x:v>
      </x:c>
      <x:c r="B12" s="7" t="str">
        <x:v>SCS</x:v>
      </x:c>
      <x:c r="C12" s="7" t="str">
        <x:v>HIGH</x:v>
      </x:c>
      <x:c r="D12" s="8" t="str">
        <x:v>Secret Detection 2/3</x:v>
      </x:c>
      <x:c r="E12" s="7" t="str">
        <x:v>Configuración / secretos</x:v>
      </x:c>
      <x:c r="F12" s="7" t="str"/>
      <x:c r="G12" s="7" t="str">
        <x:v>Secret Detection</x:v>
      </x:c>
      <x:c r="H12" s="7" t="str"/>
      <x:c r="I12" s="7" t="n">
        <x:v>222</x:v>
      </x:c>
      <x:c r="J12" s="9" t="str">
        <x:v>EN PROCESO</x:v>
      </x:c>
      <x:c r="K12" s="10" t="n">
        <x:v>46254</x:v>
      </x:c>
      <x:c r="L12" s="7" t="str">
        <x:v>Avance 2026-08-20</x:v>
      </x:c>
      <x:c r="M12" s="8" t="str">
        <x:v>Validar si corresponde a secreto real, rotar si aplica y retirar del repositorio/configuración.</x:v>
      </x:c>
      <x:c r="N12" s="17"/>
      <x:c r="O12" s="17"/>
    </x:row>
    <x:row r="13" ht="26.399999618530273" hidden="0" customHeight="1">
      <x:c r="A13" s="7" t="str">
        <x:v>SIAJ-0512</x:v>
      </x:c>
      <x:c r="B13" s="7" t="str">
        <x:v>SCS</x:v>
      </x:c>
      <x:c r="C13" s="7" t="str">
        <x:v>HIGH</x:v>
      </x:c>
      <x:c r="D13" s="8" t="str">
        <x:v>Secret Detection 3/3</x:v>
      </x:c>
      <x:c r="E13" s="7" t="str">
        <x:v>Configuración / secretos</x:v>
      </x:c>
      <x:c r="F13" s="7" t="str"/>
      <x:c r="G13" s="7" t="str">
        <x:v>Secret Detection</x:v>
      </x:c>
      <x:c r="H13" s="7" t="str"/>
      <x:c r="I13" s="7" t="n">
        <x:v>222</x:v>
      </x:c>
      <x:c r="J13" s="9" t="str">
        <x:v>EN PROCESO</x:v>
      </x:c>
      <x:c r="K13" s="10" t="n">
        <x:v>46254</x:v>
      </x:c>
      <x:c r="L13" s="7" t="str">
        <x:v>Avance 2026-08-20</x:v>
      </x:c>
      <x:c r="M13" s="8" t="str">
        <x:v>Validar si corresponde a secreto real, rotar si aplica y retirar del repositorio/configuración.</x:v>
      </x:c>
      <x:c r="N13" s="17"/>
      <x:c r="O13" s="17"/>
    </x:row>
    <x:row r="14" ht="15" hidden="0" customHeight="1">
      <x:c r="A14" s="7" t="str">
        <x:v>SIAJ-0212</x:v>
      </x:c>
      <x:c r="B14" s="7" t="str">
        <x:v>SAST</x:v>
      </x:c>
      <x:c r="C14" s="7" t="str">
        <x:v>MEDIUM</x:v>
      </x:c>
      <x:c r="D14" s="8" t="str">
        <x:v>Missing_HSTS_Header 1/1</x:v>
      </x:c>
      <x:c r="E14" s="7" t="str">
        <x:v>Código fuente Java</x:v>
      </x:c>
      <x:c r="F14" s="7" t="str"/>
      <x:c r="G14" s="7" t="str">
        <x:v>CWE-346</x:v>
      </x:c>
      <x:c r="H14" s="7" t="str"/>
      <x:c r="I14" s="7" t="n">
        <x:v>113</x:v>
      </x:c>
      <x:c r="J14" s="9" t="str">
        <x:v>EN PROCESO</x:v>
      </x:c>
      <x:c r="K14" s="10" t="n">
        <x:v>46254</x:v>
      </x:c>
      <x:c r="L14" s="7" t="str">
        <x:v>Avance 2026-08-20</x:v>
      </x:c>
      <x:c r="M14" s="8" t="str">
        <x:v>Candidato para primer avance por impacto y alcance acotado.</x:v>
      </x:c>
      <x:c r="N14" s="17"/>
      <x:c r="O14" s="17"/>
    </x:row>
    <x:row r="15" ht="15" hidden="0" customHeight="1">
      <x:c r="A15" s="7" t="str">
        <x:v>SIAJ-0213</x:v>
      </x:c>
      <x:c r="B15" s="7" t="str">
        <x:v>SAST</x:v>
      </x:c>
      <x:c r="C15" s="7" t="str">
        <x:v>MEDIUM</x:v>
      </x:c>
      <x:c r="D15" s="8" t="str">
        <x:v>Open_Redirect 1/2</x:v>
      </x:c>
      <x:c r="E15" s="7" t="str">
        <x:v>Código fuente Java</x:v>
      </x:c>
      <x:c r="F15" s="7" t="str"/>
      <x:c r="G15" s="7" t="str">
        <x:v>CWE-601</x:v>
      </x:c>
      <x:c r="H15" s="7" t="str"/>
      <x:c r="I15" s="7" t="n">
        <x:v>114</x:v>
      </x:c>
      <x:c r="J15" s="9" t="str">
        <x:v>EN PROCESO</x:v>
      </x:c>
      <x:c r="K15" s="10" t="n">
        <x:v>46254</x:v>
      </x:c>
      <x:c r="L15" s="7" t="str">
        <x:v>Avance 2026-08-20</x:v>
      </x:c>
      <x:c r="M15" s="8" t="str">
        <x:v>Candidato para primer avance por impacto y alcance acotado.</x:v>
      </x:c>
      <x:c r="N15" s="17"/>
      <x:c r="O15" s="17"/>
    </x:row>
    <x:row r="16" ht="15" hidden="0" customHeight="1">
      <x:c r="A16" s="7" t="str">
        <x:v>SIAJ-0214</x:v>
      </x:c>
      <x:c r="B16" s="7" t="str">
        <x:v>SAST</x:v>
      </x:c>
      <x:c r="C16" s="7" t="str">
        <x:v>MEDIUM</x:v>
      </x:c>
      <x:c r="D16" s="8" t="str">
        <x:v>Open_Redirect 2/2</x:v>
      </x:c>
      <x:c r="E16" s="7" t="str">
        <x:v>Código fuente Java</x:v>
      </x:c>
      <x:c r="F16" s="7" t="str"/>
      <x:c r="G16" s="7" t="str">
        <x:v>CWE-601</x:v>
      </x:c>
      <x:c r="H16" s="7" t="str"/>
      <x:c r="I16" s="7" t="n">
        <x:v>114</x:v>
      </x:c>
      <x:c r="J16" s="9" t="str">
        <x:v>EN PROCESO</x:v>
      </x:c>
      <x:c r="K16" s="10" t="n">
        <x:v>46254</x:v>
      </x:c>
      <x:c r="L16" s="7" t="str">
        <x:v>Avance 2026-08-20</x:v>
      </x:c>
      <x:c r="M16" s="8" t="str">
        <x:v>Candidato para primer avance por impacto y alcance acotado.</x:v>
      </x:c>
      <x:c r="N16" s="17"/>
      <x:c r="O16" s="17"/>
    </x:row>
    <x:row r="17" ht="15" hidden="0" customHeight="1">
      <x:c r="A17" s="7" t="str">
        <x:v>SIAJ-0469</x:v>
      </x:c>
      <x:c r="B17" s="7" t="str">
        <x:v>CONTAINER</x:v>
      </x:c>
      <x:c r="C17" s="7" t="str">
        <x:v>CRITICAL</x:v>
      </x:c>
      <x:c r="D17" s="8" t="str">
        <x:v>Contenedor glibc-2.41-12+deb13u3</x:v>
      </x:c>
      <x:c r="E17" s="7" t="str">
        <x:v>glibc</x:v>
      </x:c>
      <x:c r="F17" s="7" t="str">
        <x:v>2.41-12+deb13u3</x:v>
      </x:c>
      <x:c r="G17" s="7" t="str">
        <x:v>CWE-122</x:v>
      </x:c>
      <x:c r="H17" s="7" t="str">
        <x:v>CVE-2026-5450</x:v>
      </x:c>
      <x:c r="I17" s="7" t="n">
        <x:v>201</x:v>
      </x:c>
      <x:c r="J17" s="9" t="str">
        <x:v>PENDIENTE</x:v>
      </x:c>
      <x:c r="K17" s="10" t="n">
        <x:v>46280</x:v>
      </x:c>
      <x:c r="L17" s="7" t="str">
        <x:v>Avance 2026-09-15</x:v>
      </x:c>
      <x:c r="M17" s="8" t="str">
        <x:v>Actualizar imagen/base y validar compatibilidad en despliegue.</x:v>
      </x:c>
      <x:c r="N17" s="17"/>
      <x:c r="O17" s="17"/>
    </x:row>
    <x:row r="18" ht="15" hidden="0" customHeight="1">
      <x:c r="A18" s="7" t="str">
        <x:v>SIAJ-0470</x:v>
      </x:c>
      <x:c r="B18" s="7" t="str">
        <x:v>CONTAINER</x:v>
      </x:c>
      <x:c r="C18" s="7" t="str">
        <x:v>CRITICAL</x:v>
      </x:c>
      <x:c r="D18" s="8" t="str">
        <x:v>Contenedor glibc-2.41-12+deb13u3</x:v>
      </x:c>
      <x:c r="E18" s="7" t="str">
        <x:v>glibc</x:v>
      </x:c>
      <x:c r="F18" s="7" t="str">
        <x:v>2.41-12+deb13u3</x:v>
      </x:c>
      <x:c r="G18" s="7" t="str">
        <x:v>CWE-119</x:v>
      </x:c>
      <x:c r="H18" s="7" t="str">
        <x:v>CVE-2019-1010022</x:v>
      </x:c>
      <x:c r="I18" s="7" t="n">
        <x:v>201</x:v>
      </x:c>
      <x:c r="J18" s="9" t="str">
        <x:v>PENDIENTE</x:v>
      </x:c>
      <x:c r="K18" s="10" t="n">
        <x:v>46280</x:v>
      </x:c>
      <x:c r="L18" s="7" t="str">
        <x:v>Avance 2026-09-15</x:v>
      </x:c>
      <x:c r="M18" s="8" t="str">
        <x:v>Actualizar imagen/base y validar compatibilidad en despliegue.</x:v>
      </x:c>
      <x:c r="N18" s="17"/>
      <x:c r="O18" s="17"/>
    </x:row>
    <x:row r="19" ht="15" hidden="0" customHeight="1">
      <x:c r="A19" s="7" t="str">
        <x:v>SIAJ-0378</x:v>
      </x:c>
      <x:c r="B19" s="7" t="str">
        <x:v>CONTAINER</x:v>
      </x:c>
      <x:c r="C19" s="7" t="str">
        <x:v>CRITICAL</x:v>
      </x:c>
      <x:c r="D19" s="8" t="str">
        <x:v>Contenedor golang-1.24-1.24.6</x:v>
      </x:c>
      <x:c r="E19" s="7" t="str">
        <x:v>golang-1.24</x:v>
      </x:c>
      <x:c r="F19" s="7" t="str">
        <x:v>1.24.6</x:v>
      </x:c>
      <x:c r="G19" s="7" t="str">
        <x:v>CWE-295</x:v>
      </x:c>
      <x:c r="H19" s="7" t="str">
        <x:v>CVE-2025-68121</x:v>
      </x:c>
      <x:c r="I19" s="7" t="n">
        <x:v>177</x:v>
      </x:c>
      <x:c r="J19" s="9" t="str">
        <x:v>PENDIENTE</x:v>
      </x:c>
      <x:c r="K19" s="10" t="n">
        <x:v>46280</x:v>
      </x:c>
      <x:c r="L19" s="7" t="str">
        <x:v>Avance 2026-09-15</x:v>
      </x:c>
      <x:c r="M19" s="8" t="str">
        <x:v>Actualizar imagen/base y validar compatibilidad en despliegue.</x:v>
      </x:c>
      <x:c r="N19" s="17"/>
      <x:c r="O19" s="17"/>
    </x:row>
    <x:row r="20" ht="15" hidden="0" customHeight="1">
      <x:c r="A20" s="7" t="str">
        <x:v>SIAJ-0379</x:v>
      </x:c>
      <x:c r="B20" s="7" t="str">
        <x:v>CONTAINER</x:v>
      </x:c>
      <x:c r="C20" s="7" t="str">
        <x:v>CRITICAL</x:v>
      </x:c>
      <x:c r="D20" s="8" t="str">
        <x:v>Contenedor golang-1.24-1.24.6</x:v>
      </x:c>
      <x:c r="E20" s="7" t="str">
        <x:v>golang-1.24</x:v>
      </x:c>
      <x:c r="F20" s="7" t="str">
        <x:v>1.24.6</x:v>
      </x:c>
      <x:c r="G20" s="7" t="str">
        <x:v>NVD-CWE-Other</x:v>
      </x:c>
      <x:c r="H20" s="7" t="str">
        <x:v>CVE-2026-27143</x:v>
      </x:c>
      <x:c r="I20" s="7" t="n">
        <x:v>177</x:v>
      </x:c>
      <x:c r="J20" s="9" t="str">
        <x:v>PENDIENTE</x:v>
      </x:c>
      <x:c r="K20" s="10" t="n">
        <x:v>46280</x:v>
      </x:c>
      <x:c r="L20" s="7" t="str">
        <x:v>Avance 2026-09-15</x:v>
      </x:c>
      <x:c r="M20" s="8" t="str">
        <x:v>Actualizar imagen/base y validar compatibilidad en despliegue.</x:v>
      </x:c>
      <x:c r="N20" s="17"/>
      <x:c r="O20" s="17"/>
    </x:row>
    <x:row r="21" ht="15" hidden="0" customHeight="1">
      <x:c r="A21" s="7" t="str">
        <x:v>SIAJ-0438</x:v>
      </x:c>
      <x:c r="B21" s="7" t="str">
        <x:v>CONTAINER</x:v>
      </x:c>
      <x:c r="C21" s="7" t="str">
        <x:v>CRITICAL</x:v>
      </x:c>
      <x:c r="D21" s="8" t="str">
        <x:v>Contenedor openssl-3.5.6-1~deb13u2</x:v>
      </x:c>
      <x:c r="E21" s="7" t="str">
        <x:v>openssl</x:v>
      </x:c>
      <x:c r="F21" s="7" t="str">
        <x:v>3.5.6-1~deb13u2</x:v>
      </x:c>
      <x:c r="G21" s="7" t="str">
        <x:v>CWE-354</x:v>
      </x:c>
      <x:c r="H21" s="7" t="str">
        <x:v>CVE-2026-34182</x:v>
      </x:c>
      <x:c r="I21" s="7" t="n">
        <x:v>193</x:v>
      </x:c>
      <x:c r="J21" s="9" t="str">
        <x:v>PENDIENTE</x:v>
      </x:c>
      <x:c r="K21" s="10" t="n">
        <x:v>46280</x:v>
      </x:c>
      <x:c r="L21" s="7" t="str">
        <x:v>Avance 2026-09-15</x:v>
      </x:c>
      <x:c r="M21" s="8" t="str">
        <x:v>Actualizar imagen/base y validar compatibilidad en despliegue.</x:v>
      </x:c>
      <x:c r="N21" s="17"/>
      <x:c r="O21" s="17"/>
    </x:row>
    <x:row r="22" ht="15" hidden="0" customHeight="1">
      <x:c r="A22" s="7" t="str">
        <x:v>SIAJ-0451</x:v>
      </x:c>
      <x:c r="B22" s="7" t="str">
        <x:v>CONTAINER</x:v>
      </x:c>
      <x:c r="C22" s="7" t="str">
        <x:v>CRITICAL</x:v>
      </x:c>
      <x:c r="D22" s="8" t="str">
        <x:v>Contenedor perl-5.40.1-6</x:v>
      </x:c>
      <x:c r="E22" s="7" t="str">
        <x:v>perl</x:v>
      </x:c>
      <x:c r="F22" s="7" t="str">
        <x:v>5.40.1-6</x:v>
      </x:c>
      <x:c r="G22" s="7" t="str">
        <x:v>CWE-125</x:v>
      </x:c>
      <x:c r="H22" s="7" t="str">
        <x:v>CVE-2026-12087</x:v>
      </x:c>
      <x:c r="I22" s="7" t="n">
        <x:v>196</x:v>
      </x:c>
      <x:c r="J22" s="9" t="str">
        <x:v>PENDIENTE</x:v>
      </x:c>
      <x:c r="K22" s="10" t="n">
        <x:v>46280</x:v>
      </x:c>
      <x:c r="L22" s="7" t="str">
        <x:v>Avance 2026-09-15</x:v>
      </x:c>
      <x:c r="M22" s="8" t="str">
        <x:v>Actualizar imagen/base y validar compatibilidad en despliegue.</x:v>
      </x:c>
      <x:c r="N22" s="17"/>
      <x:c r="O22" s="17"/>
    </x:row>
    <x:row r="23" ht="15" hidden="0" customHeight="1">
      <x:c r="A23" s="7" t="str">
        <x:v>SIAJ-0452</x:v>
      </x:c>
      <x:c r="B23" s="7" t="str">
        <x:v>CONTAINER</x:v>
      </x:c>
      <x:c r="C23" s="7" t="str">
        <x:v>CRITICAL</x:v>
      </x:c>
      <x:c r="D23" s="8" t="str">
        <x:v>Contenedor perl-5.40.1-6</x:v>
      </x:c>
      <x:c r="E23" s="7" t="str">
        <x:v>perl</x:v>
      </x:c>
      <x:c r="F23" s="7" t="str">
        <x:v>5.40.1-6</x:v>
      </x:c>
      <x:c r="G23" s="7" t="str">
        <x:v>CWE-190</x:v>
      </x:c>
      <x:c r="H23" s="7" t="str">
        <x:v>CVE-2026-57433</x:v>
      </x:c>
      <x:c r="I23" s="7" t="n">
        <x:v>196</x:v>
      </x:c>
      <x:c r="J23" s="9" t="str">
        <x:v>PENDIENTE</x:v>
      </x:c>
      <x:c r="K23" s="10" t="n">
        <x:v>46280</x:v>
      </x:c>
      <x:c r="L23" s="7" t="str">
        <x:v>Avance 2026-09-15</x:v>
      </x:c>
      <x:c r="M23" s="8" t="str">
        <x:v>Actualizar imagen/base y validar compatibilidad en despliegue.</x:v>
      </x:c>
      <x:c r="N23" s="17"/>
      <x:c r="O23" s="17"/>
    </x:row>
    <x:row r="24" ht="15" hidden="0" customHeight="1">
      <x:c r="A24" s="7" t="str">
        <x:v>SIAJ-0453</x:v>
      </x:c>
      <x:c r="B24" s="7" t="str">
        <x:v>CONTAINER</x:v>
      </x:c>
      <x:c r="C24" s="7" t="str">
        <x:v>CRITICAL</x:v>
      </x:c>
      <x:c r="D24" s="8" t="str">
        <x:v>Contenedor perl-5.40.1-6</x:v>
      </x:c>
      <x:c r="E24" s="7" t="str">
        <x:v>perl</x:v>
      </x:c>
      <x:c r="F24" s="7" t="str">
        <x:v>5.40.1-6</x:v>
      </x:c>
      <x:c r="G24" s="7" t="str">
        <x:v>CWE-190</x:v>
      </x:c>
      <x:c r="H24" s="7" t="str">
        <x:v>CVE-2026-13221</x:v>
      </x:c>
      <x:c r="I24" s="7" t="n">
        <x:v>197</x:v>
      </x:c>
      <x:c r="J24" s="9" t="str">
        <x:v>PENDIENTE</x:v>
      </x:c>
      <x:c r="K24" s="10" t="n">
        <x:v>46280</x:v>
      </x:c>
      <x:c r="L24" s="7" t="str">
        <x:v>Avance 2026-09-15</x:v>
      </x:c>
      <x:c r="M24" s="8" t="str">
        <x:v>Actualizar imagen/base y validar compatibilidad en despliegue.</x:v>
      </x:c>
      <x:c r="N24" s="17"/>
      <x:c r="O24" s="17"/>
    </x:row>
    <x:row r="25" ht="15" hidden="0" customHeight="1">
      <x:c r="A25" s="7" t="str">
        <x:v>SIAJ-0454</x:v>
      </x:c>
      <x:c r="B25" s="7" t="str">
        <x:v>CONTAINER</x:v>
      </x:c>
      <x:c r="C25" s="7" t="str">
        <x:v>CRITICAL</x:v>
      </x:c>
      <x:c r="D25" s="8" t="str">
        <x:v>Contenedor perl-5.40.1-6</x:v>
      </x:c>
      <x:c r="E25" s="7" t="str">
        <x:v>perl</x:v>
      </x:c>
      <x:c r="F25" s="7" t="str">
        <x:v>5.40.1-6</x:v>
      </x:c>
      <x:c r="G25" s="7" t="str">
        <x:v>CWE-680</x:v>
      </x:c>
      <x:c r="H25" s="7" t="str">
        <x:v>CVE-2026-8376</x:v>
      </x:c>
      <x:c r="I25" s="7" t="n">
        <x:v>197</x:v>
      </x:c>
      <x:c r="J25" s="9" t="str">
        <x:v>PENDIENTE</x:v>
      </x:c>
      <x:c r="K25" s="10" t="n">
        <x:v>46280</x:v>
      </x:c>
      <x:c r="L25" s="7" t="str">
        <x:v>Avance 2026-09-15</x:v>
      </x:c>
      <x:c r="M25" s="8" t="str">
        <x:v>Actualizar imagen/base y validar compatibilidad en despliegue.</x:v>
      </x:c>
      <x:c r="N25" s="17"/>
      <x:c r="O25" s="17"/>
    </x:row>
    <x:row r="26" ht="15" hidden="0" customHeight="1">
      <x:c r="A26" s="7" t="str">
        <x:v>SIAJ-0455</x:v>
      </x:c>
      <x:c r="B26" s="7" t="str">
        <x:v>CONTAINER</x:v>
      </x:c>
      <x:c r="C26" s="7" t="str">
        <x:v>CRITICAL</x:v>
      </x:c>
      <x:c r="D26" s="8" t="str">
        <x:v>Contenedor perl-5.40.1-6</x:v>
      </x:c>
      <x:c r="E26" s="7" t="str">
        <x:v>perl</x:v>
      </x:c>
      <x:c r="F26" s="7" t="str">
        <x:v>5.40.1-6</x:v>
      </x:c>
      <x:c r="G26" s="7" t="str">
        <x:v>CWE-59</x:v>
      </x:c>
      <x:c r="H26" s="7" t="str">
        <x:v>CVE-2026-42496</x:v>
      </x:c>
      <x:c r="I26" s="7" t="n">
        <x:v>197</x:v>
      </x:c>
      <x:c r="J26" s="9" t="str">
        <x:v>PENDIENTE</x:v>
      </x:c>
      <x:c r="K26" s="10" t="n">
        <x:v>46280</x:v>
      </x:c>
      <x:c r="L26" s="7" t="str">
        <x:v>Avance 2026-09-15</x:v>
      </x:c>
      <x:c r="M26" s="8" t="str">
        <x:v>Actualizar imagen/base y validar compatibilidad en despliegue.</x:v>
      </x:c>
      <x:c r="N26" s="17"/>
      <x:c r="O26" s="17"/>
    </x:row>
    <x:row r="27" ht="15" hidden="0" customHeight="1">
      <x:c r="A27" s="7" t="str">
        <x:v>SIAJ-0427</x:v>
      </x:c>
      <x:c r="B27" s="7" t="str">
        <x:v>CONTAINER</x:v>
      </x:c>
      <x:c r="C27" s="7" t="str">
        <x:v>CRITICAL</x:v>
      </x:c>
      <x:c r="D27" s="8" t="str">
        <x:v>Contenedor tar-1.35+dfsg-3.1</x:v>
      </x:c>
      <x:c r="E27" s="7" t="str">
        <x:v>tar</x:v>
      </x:c>
      <x:c r="F27" s="7" t="str">
        <x:v>1.35+dfsg-3.1</x:v>
      </x:c>
      <x:c r="G27" s="7" t="str">
        <x:v>NVD-CWE-Other</x:v>
      </x:c>
      <x:c r="H27" s="7" t="str">
        <x:v>CVE-2005-2541</x:v>
      </x:c>
      <x:c r="I27" s="7" t="n">
        <x:v>190</x:v>
      </x:c>
      <x:c r="J27" s="9" t="str">
        <x:v>PENDIENTE</x:v>
      </x:c>
      <x:c r="K27" s="10" t="n">
        <x:v>46280</x:v>
      </x:c>
      <x:c r="L27" s="7" t="str">
        <x:v>Avance 2026-09-15</x:v>
      </x:c>
      <x:c r="M27" s="8" t="str">
        <x:v>Actualizar imagen/base y validar compatibilidad en despliegue.</x:v>
      </x:c>
      <x:c r="N27" s="17"/>
      <x:c r="O27" s="17"/>
    </x:row>
    <x:row r="28" ht="39.599998474121094" hidden="0" customHeight="1">
      <x:c r="A28" s="7" t="str">
        <x:v>SIAJ-0374</x:v>
      </x:c>
      <x:c r="B28" s="7" t="str">
        <x:v>SCA</x:v>
      </x:c>
      <x:c r="C28" s="7" t="str">
        <x:v>CRITICAL</x:v>
      </x:c>
      <x:c r="D28" s="8" t="str">
        <x:v>Dependencia io.netty:netty-codec-dns-4.1.128.Final</x:v>
      </x:c>
      <x:c r="E28" s="7" t="str">
        <x:v>io.netty:netty-codec-dns</x:v>
      </x:c>
      <x:c r="F28" s="7" t="str">
        <x:v>4.1.128.Final</x:v>
      </x:c>
      <x:c r="G28" s="7" t="str">
        <x:v>CWE-20</x:v>
      </x:c>
      <x:c r="H28" s="7" t="str">
        <x:v>CVE-2026-42579</x:v>
      </x:c>
      <x:c r="I28" s="7" t="n">
        <x:v>173</x:v>
      </x:c>
      <x:c r="J28" s="9" t="str">
        <x:v>PENDIENTE</x:v>
      </x:c>
      <x:c r="K28" s="10" t="n">
        <x:v>46280</x:v>
      </x:c>
      <x:c r="L28" s="7" t="str">
        <x:v>Avance 2026-09-15</x:v>
      </x:c>
      <x:c r="M28" s="8" t="str">
        <x:v>Netty's DNS codec does not enforce RFC 1035 domain name constraints during either en coding or decoding. This creates a bidirectional attack surface: malicious DNS responses can ex</x:v>
      </x:c>
      <x:c r="N28" s="17"/>
      <x:c r="O28" s="17"/>
    </x:row>
    <x:row r="29" ht="39.599998474121094" hidden="0" customHeight="1">
      <x:c r="A29" s="7" t="str">
        <x:v>SIAJ-0272</x:v>
      </x:c>
      <x:c r="B29" s="7" t="str">
        <x:v>SCA</x:v>
      </x:c>
      <x:c r="C29" s="7" t="str">
        <x:v>CRITICAL</x:v>
      </x:c>
      <x:c r="D29" s="8" t="str">
        <x:v>Dependencia io.netty:netty-codec-http-4.1.110.Final</x:v>
      </x:c>
      <x:c r="E29" s="7" t="str">
        <x:v>io.netty:netty-codec-http</x:v>
      </x:c>
      <x:c r="F29" s="7" t="str">
        <x:v>4.1.110.Final</x:v>
      </x:c>
      <x:c r="G29" s="7" t="str">
        <x:v>CWE-444</x:v>
      </x:c>
      <x:c r="H29" s="7" t="str">
        <x:v>CVE-2026-42584</x:v>
      </x:c>
      <x:c r="I29" s="7" t="n">
        <x:v>137</x:v>
      </x:c>
      <x:c r="J29" s="9" t="str">
        <x:v>PENDIENTE</x:v>
      </x:c>
      <x:c r="K29" s="10" t="n">
        <x:v>46280</x:v>
      </x:c>
      <x:c r="L29" s="7" t="str">
        <x:v>Avance 2026-09-15</x:v>
      </x:c>
      <x:c r="M29" s="8" t="str">
        <x:v>Netty is an asynchronous, event-driven network application framework. Prior to 4.1.133.Fi nal and 4.2.x prior to 4.2.13.Final and 5.0.0.Alpha1 and 5.0.0.Alpha2, HttpClientCodec pai</x:v>
      </x:c>
      <x:c r="N29" s="17"/>
      <x:c r="O29" s="17"/>
    </x:row>
    <x:row r="30" ht="39.599998474121094" hidden="0" customHeight="1">
      <x:c r="A30" s="7" t="str">
        <x:v>SIAJ-0273</x:v>
      </x:c>
      <x:c r="B30" s="7" t="str">
        <x:v>SCA</x:v>
      </x:c>
      <x:c r="C30" s="7" t="str">
        <x:v>CRITICAL</x:v>
      </x:c>
      <x:c r="D30" s="8" t="str">
        <x:v>Dependencia io.netty:netty-codec-http-4.1.110.Final</x:v>
      </x:c>
      <x:c r="E30" s="7" t="str">
        <x:v>io.netty:netty-codec-http</x:v>
      </x:c>
      <x:c r="F30" s="7" t="str">
        <x:v>4.1.110.Final</x:v>
      </x:c>
      <x:c r="G30" s="7" t="str">
        <x:v>CWE-444</x:v>
      </x:c>
      <x:c r="H30" s="7" t="str">
        <x:v>CVE-2026-42581</x:v>
      </x:c>
      <x:c r="I30" s="7" t="n">
        <x:v>137</x:v>
      </x:c>
      <x:c r="J30" s="9" t="str">
        <x:v>PENDIENTE</x:v>
      </x:c>
      <x:c r="K30" s="10" t="n">
        <x:v>46280</x:v>
      </x:c>
      <x:c r="L30" s="7" t="str">
        <x:v>Avance 2026-09-15</x:v>
      </x:c>
      <x:c r="M30" s="8" t="str">
        <x:v>Netty is an asynchronous, event-driven network application framework. In versions prior t o 4.1.133.Final and 4.2.x prior to 4.2.13.Final, `HttpObjectDecoder` strips a conflicting</x:v>
      </x:c>
      <x:c r="N30" s="17"/>
      <x:c r="O30" s="17"/>
    </x:row>
    <x:row r="31" ht="39.599998474121094" hidden="0" customHeight="1">
      <x:c r="A31" s="7" t="str">
        <x:v>SIAJ-0286</x:v>
      </x:c>
      <x:c r="B31" s="7" t="str">
        <x:v>SCA</x:v>
      </x:c>
      <x:c r="C31" s="7" t="str">
        <x:v>CRITICAL</x:v>
      </x:c>
      <x:c r="D31" s="8" t="str">
        <x:v>Dependencia io.netty:netty-codec-http-4.1.128.Final</x:v>
      </x:c>
      <x:c r="E31" s="7" t="str">
        <x:v>io.netty:netty-codec-http</x:v>
      </x:c>
      <x:c r="F31" s="7" t="str">
        <x:v>4.1.128.Final</x:v>
      </x:c>
      <x:c r="G31" s="7" t="str">
        <x:v>CWE-444</x:v>
      </x:c>
      <x:c r="H31" s="7" t="str">
        <x:v>CVE-2026-42581</x:v>
      </x:c>
      <x:c r="I31" s="7" t="n">
        <x:v>141</x:v>
      </x:c>
      <x:c r="J31" s="9" t="str">
        <x:v>PENDIENTE</x:v>
      </x:c>
      <x:c r="K31" s="10" t="n">
        <x:v>46280</x:v>
      </x:c>
      <x:c r="L31" s="7" t="str">
        <x:v>Avance 2026-09-15</x:v>
      </x:c>
      <x:c r="M31" s="8" t="str">
        <x:v>Netty is an asynchronous, event-driven network application framework. In versions prior t o 4.1.133.Final and 4.2.x prior to 4.2.13.Final, `HttpObjectDecoder` strips a conflicting</x:v>
      </x:c>
      <x:c r="N31" s="17"/>
      <x:c r="O31" s="17"/>
    </x:row>
    <x:row r="32" ht="39.599998474121094" hidden="0" customHeight="1">
      <x:c r="A32" s="7" t="str">
        <x:v>SIAJ-0287</x:v>
      </x:c>
      <x:c r="B32" s="7" t="str">
        <x:v>SCA</x:v>
      </x:c>
      <x:c r="C32" s="7" t="str">
        <x:v>CRITICAL</x:v>
      </x:c>
      <x:c r="D32" s="8" t="str">
        <x:v>Dependencia io.netty:netty-codec-http-4.1.128.Final</x:v>
      </x:c>
      <x:c r="E32" s="7" t="str">
        <x:v>io.netty:netty-codec-http</x:v>
      </x:c>
      <x:c r="F32" s="7" t="str">
        <x:v>4.1.128.Final</x:v>
      </x:c>
      <x:c r="G32" s="7" t="str">
        <x:v>CWE-444</x:v>
      </x:c>
      <x:c r="H32" s="7" t="str">
        <x:v>CVE-2026-42584</x:v>
      </x:c>
      <x:c r="I32" s="7" t="n">
        <x:v>141</x:v>
      </x:c>
      <x:c r="J32" s="9" t="str">
        <x:v>PENDIENTE</x:v>
      </x:c>
      <x:c r="K32" s="10" t="n">
        <x:v>46280</x:v>
      </x:c>
      <x:c r="L32" s="7" t="str">
        <x:v>Avance 2026-09-15</x:v>
      </x:c>
      <x:c r="M32" s="8" t="str">
        <x:v>Netty is an asynchronous, event-driven network application framework. Prior to 4.1.133.Fi nal and 4.2.x prior to 4.2.13.Final and 5.0.0.Alpha1 and 5.0.0.Alpha2, HttpClientCodec pai</x:v>
      </x:c>
      <x:c r="N32" s="17"/>
      <x:c r="O32" s="17"/>
    </x:row>
    <x:row r="33" ht="39.599998474121094" hidden="0" customHeight="1">
      <x:c r="A33" s="7" t="str">
        <x:v>SIAJ-0308</x:v>
      </x:c>
      <x:c r="B33" s="7" t="str">
        <x:v>SCA</x:v>
      </x:c>
      <x:c r="C33" s="7" t="str">
        <x:v>CRITICAL</x:v>
      </x:c>
      <x:c r="D33" s="8" t="str">
        <x:v>Dependencia io.netty:netty-codec-http-4.1.93.Final</x:v>
      </x:c>
      <x:c r="E33" s="7" t="str">
        <x:v>io.netty:netty-codec-http</x:v>
      </x:c>
      <x:c r="F33" s="7" t="str">
        <x:v>4.1.93.Final</x:v>
      </x:c>
      <x:c r="G33" s="7" t="str">
        <x:v>CWE-444</x:v>
      </x:c>
      <x:c r="H33" s="7" t="str">
        <x:v>CVE-2026-42584</x:v>
      </x:c>
      <x:c r="I33" s="7" t="n">
        <x:v>149</x:v>
      </x:c>
      <x:c r="J33" s="9" t="str">
        <x:v>PENDIENTE</x:v>
      </x:c>
      <x:c r="K33" s="10" t="n">
        <x:v>46280</x:v>
      </x:c>
      <x:c r="L33" s="7" t="str">
        <x:v>Avance 2026-09-15</x:v>
      </x:c>
      <x:c r="M33" s="8" t="str">
        <x:v>Netty is an asynchronous, event-driven network application framework. Prior to 4.1.133.Fi nal and 4.2.x prior to 4.2.13.Final and 5.0.0.Alpha1 and 5.0.0.Alpha2, HttpClientCodec pai</x:v>
      </x:c>
      <x:c r="N33" s="17"/>
      <x:c r="O33" s="17"/>
    </x:row>
    <x:row r="34" ht="39.599998474121094" hidden="0" customHeight="1">
      <x:c r="A34" s="7" t="str">
        <x:v>SIAJ-0309</x:v>
      </x:c>
      <x:c r="B34" s="7" t="str">
        <x:v>SCA</x:v>
      </x:c>
      <x:c r="C34" s="7" t="str">
        <x:v>CRITICAL</x:v>
      </x:c>
      <x:c r="D34" s="8" t="str">
        <x:v>Dependencia io.netty:netty-codec-http-4.1.93.Final</x:v>
      </x:c>
      <x:c r="E34" s="7" t="str">
        <x:v>io.netty:netty-codec-http</x:v>
      </x:c>
      <x:c r="F34" s="7" t="str">
        <x:v>4.1.93.Final</x:v>
      </x:c>
      <x:c r="G34" s="7" t="str">
        <x:v>CWE-444</x:v>
      </x:c>
      <x:c r="H34" s="7" t="str">
        <x:v>CVE-2026-42581</x:v>
      </x:c>
      <x:c r="I34" s="7" t="n">
        <x:v>149</x:v>
      </x:c>
      <x:c r="J34" s="9" t="str">
        <x:v>PENDIENTE</x:v>
      </x:c>
      <x:c r="K34" s="10" t="n">
        <x:v>46280</x:v>
      </x:c>
      <x:c r="L34" s="7" t="str">
        <x:v>Avance 2026-09-15</x:v>
      </x:c>
      <x:c r="M34" s="8" t="str">
        <x:v>Netty is an asynchronous, event-driven network application framework. In versions prior t o 4.1.133.Final and 4.2.x prior to 4.2.13.Final, `HttpObjectDecoder` strips a conflicting</x:v>
      </x:c>
      <x:c r="N34" s="17"/>
      <x:c r="O34" s="17"/>
    </x:row>
    <x:row r="35" ht="39.599998474121094" hidden="0" customHeight="1">
      <x:c r="A35" s="7" t="str">
        <x:v>SIAJ-0340</x:v>
      </x:c>
      <x:c r="B35" s="7" t="str">
        <x:v>SCA</x:v>
      </x:c>
      <x:c r="C35" s="7" t="str">
        <x:v>CRITICAL</x:v>
      </x:c>
      <x:c r="D35" s="8" t="str">
        <x:v>Dependencia io.netty:netty-handler-4.1.110.Final</x:v>
      </x:c>
      <x:c r="E35" s="7" t="str">
        <x:v>io.netty:netty-handler</x:v>
      </x:c>
      <x:c r="F35" s="7" t="str">
        <x:v>4.1.110.Final</x:v>
      </x:c>
      <x:c r="G35" s="7" t="str">
        <x:v>CWE-284</x:v>
      </x:c>
      <x:c r="H35" s="7" t="str">
        <x:v>CVE-2026-44249</x:v>
      </x:c>
      <x:c r="I35" s="7" t="n">
        <x:v>161</x:v>
      </x:c>
      <x:c r="J35" s="9" t="str">
        <x:v>PENDIENTE</x:v>
      </x:c>
      <x:c r="K35" s="10" t="n">
        <x:v>46310</x:v>
      </x:c>
      <x:c r="L35" s="7" t="str">
        <x:v>Avance 2026-10-15</x:v>
      </x:c>
      <x:c r="M35" s="8" t="str">
        <x:v>Netty is a network application framework for development of protocol servers and client s. In netty-handler versions through 4.1.134.Final, 4.2.x through 4.2.14.Final and 5.x throu</x:v>
      </x:c>
      <x:c r="N35" s="17"/>
      <x:c r="O35" s="17"/>
    </x:row>
    <x:row r="36" ht="39.599998474121094" hidden="0" customHeight="1">
      <x:c r="A36" s="7" t="str">
        <x:v>SIAJ-0345</x:v>
      </x:c>
      <x:c r="B36" s="7" t="str">
        <x:v>SCA</x:v>
      </x:c>
      <x:c r="C36" s="7" t="str">
        <x:v>CRITICAL</x:v>
      </x:c>
      <x:c r="D36" s="8" t="str">
        <x:v>Dependencia io.netty:netty-handler-4.1.128.Final</x:v>
      </x:c>
      <x:c r="E36" s="7" t="str">
        <x:v>io.netty:netty-handler</x:v>
      </x:c>
      <x:c r="F36" s="7" t="str">
        <x:v>4.1.128.Final</x:v>
      </x:c>
      <x:c r="G36" s="7" t="str">
        <x:v>CWE-284</x:v>
      </x:c>
      <x:c r="H36" s="7" t="str">
        <x:v>CVE-2026-44249</x:v>
      </x:c>
      <x:c r="I36" s="7" t="n">
        <x:v>163</x:v>
      </x:c>
      <x:c r="J36" s="9" t="str">
        <x:v>PENDIENTE</x:v>
      </x:c>
      <x:c r="K36" s="10" t="n">
        <x:v>46310</x:v>
      </x:c>
      <x:c r="L36" s="7" t="str">
        <x:v>Avance 2026-10-15</x:v>
      </x:c>
      <x:c r="M36" s="8" t="str">
        <x:v>Netty is a network application framework for development of protocol servers and client s. In netty-handler versions through 4.1.134.Final, 4.2.x through 4.2.14.Final and 5.x throu</x:v>
      </x:c>
      <x:c r="N36" s="17"/>
      <x:c r="O36" s="17"/>
    </x:row>
    <x:row r="37" ht="39.599998474121094" hidden="0" customHeight="1">
      <x:c r="A37" s="7" t="str">
        <x:v>SIAJ-0350</x:v>
      </x:c>
      <x:c r="B37" s="7" t="str">
        <x:v>SCA</x:v>
      </x:c>
      <x:c r="C37" s="7" t="str">
        <x:v>CRITICAL</x:v>
      </x:c>
      <x:c r="D37" s="8" t="str">
        <x:v>Dependencia io.netty:netty-handler-4.1.93.Final</x:v>
      </x:c>
      <x:c r="E37" s="7" t="str">
        <x:v>io.netty:netty-handler</x:v>
      </x:c>
      <x:c r="F37" s="7" t="str">
        <x:v>4.1.93.Final</x:v>
      </x:c>
      <x:c r="G37" s="7" t="str">
        <x:v>CWE-284</x:v>
      </x:c>
      <x:c r="H37" s="7" t="str">
        <x:v>CVE-2026-44249</x:v>
      </x:c>
      <x:c r="I37" s="7" t="n">
        <x:v>165</x:v>
      </x:c>
      <x:c r="J37" s="9" t="str">
        <x:v>PENDIENTE</x:v>
      </x:c>
      <x:c r="K37" s="10" t="n">
        <x:v>46310</x:v>
      </x:c>
      <x:c r="L37" s="7" t="str">
        <x:v>Avance 2026-10-15</x:v>
      </x:c>
      <x:c r="M37" s="8" t="str">
        <x:v>Netty is a network application framework for development of protocol servers and client s. In netty-handler versions through 4.1.134.Final, 4.2.x through 4.2.14.Final and 5.x throu</x:v>
      </x:c>
      <x:c r="N37" s="17"/>
      <x:c r="O37" s="17"/>
    </x:row>
    <x:row r="38" ht="39.599998474121094" hidden="0" customHeight="1">
      <x:c r="A38" s="7" t="str">
        <x:v>SIAJ-0372</x:v>
      </x:c>
      <x:c r="B38" s="7" t="str">
        <x:v>SCA</x:v>
      </x:c>
      <x:c r="C38" s="7" t="str">
        <x:v>CRITICAL</x:v>
      </x:c>
      <x:c r="D38" s="8" t="str">
        <x:v>Dependencia io.netty:netty-resolver-dns-4.1.128.Final</x:v>
      </x:c>
      <x:c r="E38" s="7" t="str">
        <x:v>io.netty:netty-resolver-dns</x:v>
      </x:c>
      <x:c r="F38" s="7" t="str">
        <x:v>4.1.128.Final</x:v>
      </x:c>
      <x:c r="G38" s="7" t="str">
        <x:v>CWE-345</x:v>
      </x:c>
      <x:c r="H38" s="7" t="str">
        <x:v>CVE-2026-47691</x:v>
      </x:c>
      <x:c r="I38" s="7" t="n">
        <x:v>173</x:v>
      </x:c>
      <x:c r="J38" s="9" t="str">
        <x:v>PENDIENTE</x:v>
      </x:c>
      <x:c r="K38" s="10" t="n">
        <x:v>46310</x:v>
      </x:c>
      <x:c r="L38" s="7" t="str">
        <x:v>Avance 2026-10-15</x:v>
      </x:c>
      <x:c r="M38" s="8" t="str">
        <x:v>Netty's `DnsResolveContext` insufficiently validates the bailiwick of NS records, enablin g DNS Cache Poisoning. An attacker controlling an authoritative name server for a subdomai</x:v>
      </x:c>
      <x:c r="N38" s="17"/>
      <x:c r="O38" s="17"/>
    </x:row>
    <x:row r="39" ht="39.599998474121094" hidden="0" customHeight="1">
      <x:c r="A39" s="7" t="str">
        <x:v>SIAJ-0373</x:v>
      </x:c>
      <x:c r="B39" s="7" t="str">
        <x:v>SCA</x:v>
      </x:c>
      <x:c r="C39" s="7" t="str">
        <x:v>CRITICAL</x:v>
      </x:c>
      <x:c r="D39" s="8" t="str">
        <x:v>Dependencia io.netty:netty-resolver-dns-4.1.128.Final</x:v>
      </x:c>
      <x:c r="E39" s="7" t="str">
        <x:v>io.netty:netty-resolver-dns</x:v>
      </x:c>
      <x:c r="F39" s="7" t="str">
        <x:v>4.1.128.Final</x:v>
      </x:c>
      <x:c r="G39" s="7" t="str">
        <x:v>CWE-345</x:v>
      </x:c>
      <x:c r="H39" s="7" t="str">
        <x:v>CVE-2026-45674</x:v>
      </x:c>
      <x:c r="I39" s="7" t="n">
        <x:v>173</x:v>
      </x:c>
      <x:c r="J39" s="9" t="str">
        <x:v>PENDIENTE</x:v>
      </x:c>
      <x:c r="K39" s="10" t="n">
        <x:v>46310</x:v>
      </x:c>
      <x:c r="L39" s="7" t="str">
        <x:v>Avance 2026-10-15</x:v>
      </x:c>
      <x:c r="M39" s="8" t="str">
        <x:v>Netty's DnsResolveContext fails to validate the origin (bailiwick) of CNAME records in DN S responses. Issue has been patched in 4.2.15.Final, 4.1.135.Final.</x:v>
      </x:c>
      <x:c r="N39" s="17"/>
      <x:c r="O39" s="17"/>
    </x:row>
    <x:row r="40" ht="39.599998474121094" hidden="0" customHeight="1">
      <x:c r="A40" s="7" t="str">
        <x:v>SIAJ-0236</x:v>
      </x:c>
      <x:c r="B40" s="7" t="str">
        <x:v>SCA</x:v>
      </x:c>
      <x:c r="C40" s="7" t="str">
        <x:v>CRITICAL</x:v>
      </x:c>
      <x:c r="D40" s="8" t="str">
        <x:v>Dependencia org.apache.tomcat.embed:tomcat-embed-core-10.1.49</x:v>
      </x:c>
      <x:c r="E40" s="7" t="str">
        <x:v>org.apache.tomcat.embed:tomcat-embed-core</x:v>
      </x:c>
      <x:c r="F40" s="7" t="str">
        <x:v>10.1.49</x:v>
      </x:c>
      <x:c r="G40" s="7" t="str">
        <x:v>CWE-20</x:v>
      </x:c>
      <x:c r="H40" s="7" t="str">
        <x:v>CVE-2026-41293</x:v>
      </x:c>
      <x:c r="I40" s="7" t="n">
        <x:v>123</x:v>
      </x:c>
      <x:c r="J40" s="9" t="str">
        <x:v>PENDIENTE</x:v>
      </x:c>
      <x:c r="K40" s="10" t="n">
        <x:v>46310</x:v>
      </x:c>
      <x:c r="L40" s="7" t="str">
        <x:v>Avance 2026-10-15</x:v>
      </x:c>
      <x:c r="M40" s="8" t="str">
        <x:v>Improper Input Validation vulnerability in Apache Tomcat. This issue affects Apache Tomc at: from 11.0.0-M1 through 11.0.21, from 10.1.0-M1 through 10.1.54, from 9.0.0.M1 through 9</x:v>
      </x:c>
      <x:c r="N40" s="17"/>
      <x:c r="O40" s="17"/>
    </x:row>
    <x:row r="41" ht="39.599998474121094" hidden="0" customHeight="1">
      <x:c r="A41" s="7" t="str">
        <x:v>SIAJ-0238</x:v>
      </x:c>
      <x:c r="B41" s="7" t="str">
        <x:v>SCA</x:v>
      </x:c>
      <x:c r="C41" s="7" t="str">
        <x:v>CRITICAL</x:v>
      </x:c>
      <x:c r="D41" s="8" t="str">
        <x:v>Dependencia org.apache.tomcat.embed:tomcat-embed-core-10.1.49</x:v>
      </x:c>
      <x:c r="E41" s="7" t="str">
        <x:v>org.apache.tomcat.embed:tomcat-embed-core</x:v>
      </x:c>
      <x:c r="F41" s="7" t="str">
        <x:v>10.1.49</x:v>
      </x:c>
      <x:c r="G41" s="7" t="str">
        <x:v>CWE-285</x:v>
      </x:c>
      <x:c r="H41" s="7" t="str">
        <x:v>CVE-2026-43515</x:v>
      </x:c>
      <x:c r="I41" s="7" t="n">
        <x:v>124</x:v>
      </x:c>
      <x:c r="J41" s="9" t="str">
        <x:v>PENDIENTE</x:v>
      </x:c>
      <x:c r="K41" s="10" t="n">
        <x:v>46310</x:v>
      </x:c>
      <x:c r="L41" s="7" t="str">
        <x:v>Avance 2026-10-15</x:v>
      </x:c>
      <x:c r="M41" s="8" t="str">
        <x:v>Improper Authorization vulnerability when multiple method constraints define an HTTP m ethod for the same extension in Apache Tomcat. This issue affects Apache Tomcat: from 11.0.0-</x:v>
      </x:c>
      <x:c r="N41" s="17"/>
      <x:c r="O41" s="17"/>
    </x:row>
    <x:row r="42" ht="39.599998474121094" hidden="0" customHeight="1">
      <x:c r="A42" s="7" t="str">
        <x:v>SIAJ-0239</x:v>
      </x:c>
      <x:c r="B42" s="7" t="str">
        <x:v>SCA</x:v>
      </x:c>
      <x:c r="C42" s="7" t="str">
        <x:v>CRITICAL</x:v>
      </x:c>
      <x:c r="D42" s="8" t="str">
        <x:v>Dependencia org.apache.tomcat.embed:tomcat-embed-core-10.1.49</x:v>
      </x:c>
      <x:c r="E42" s="7" t="str">
        <x:v>org.apache.tomcat.embed:tomcat-embed-core</x:v>
      </x:c>
      <x:c r="F42" s="7" t="str">
        <x:v>10.1.49</x:v>
      </x:c>
      <x:c r="G42" s="7" t="str">
        <x:v>CWE-592</x:v>
      </x:c>
      <x:c r="H42" s="7" t="str">
        <x:v>CVE-2026-43512</x:v>
      </x:c>
      <x:c r="I42" s="7" t="n">
        <x:v>124</x:v>
      </x:c>
      <x:c r="J42" s="9" t="str">
        <x:v>PENDIENTE</x:v>
      </x:c>
      <x:c r="K42" s="10" t="n">
        <x:v>46310</x:v>
      </x:c>
      <x:c r="L42" s="7" t="str">
        <x:v>Avance 2026-10-15</x:v>
      </x:c>
      <x:c r="M42" s="8" t="str">
        <x:v>DEPRECATED: Authentication Bypass Issues vulnerability in digest authentication in Apac he Tomcat. This issue affects Apache Tomcat: from 11.0.0-M1 through 11.0.21, from 10.1.0-M1</x:v>
      </x:c>
      <x:c r="N42" s="17"/>
      <x:c r="O42" s="17"/>
    </x:row>
    <x:row r="43" ht="39.599998474121094" hidden="0" customHeight="1">
      <x:c r="A43" s="7" t="str">
        <x:v>SIAJ-0240</x:v>
      </x:c>
      <x:c r="B43" s="7" t="str">
        <x:v>SCA</x:v>
      </x:c>
      <x:c r="C43" s="7" t="str">
        <x:v>CRITICAL</x:v>
      </x:c>
      <x:c r="D43" s="8" t="str">
        <x:v>Dependencia org.apache.tomcat.embed:tomcat-embed-core-10.1.49</x:v>
      </x:c>
      <x:c r="E43" s="7" t="str">
        <x:v>org.apache.tomcat.embed:tomcat-embed-core</x:v>
      </x:c>
      <x:c r="F43" s="7" t="str">
        <x:v>10.1.49</x:v>
      </x:c>
      <x:c r="G43" s="7" t="str">
        <x:v>CWE-287</x:v>
      </x:c>
      <x:c r="H43" s="7" t="str">
        <x:v>CVE-2026-29145</x:v>
      </x:c>
      <x:c r="I43" s="7" t="n">
        <x:v>125</x:v>
      </x:c>
      <x:c r="J43" s="9" t="str">
        <x:v>PENDIENTE</x:v>
      </x:c>
      <x:c r="K43" s="10" t="n">
        <x:v>46310</x:v>
      </x:c>
      <x:c r="L43" s="7" t="str">
        <x:v>Avance 2026-10-15</x:v>
      </x:c>
      <x:c r="M43" s="8" t="str">
        <x:v>CLIENT_CERT authentication does not fail as expected for some scenarios when soft fail i s disabled vulnerability in Apache Tomcat, Apache Tomcat Native. This issue affects Apache</x:v>
      </x:c>
      <x:c r="N43" s="17"/>
      <x:c r="O43" s="17"/>
    </x:row>
    <x:row r="44" ht="39.599998474121094" hidden="0" customHeight="1">
      <x:c r="A44" s="7" t="str">
        <x:v>SIAJ-0241</x:v>
      </x:c>
      <x:c r="B44" s="7" t="str">
        <x:v>SCA</x:v>
      </x:c>
      <x:c r="C44" s="7" t="str">
        <x:v>CRITICAL</x:v>
      </x:c>
      <x:c r="D44" s="8" t="str">
        <x:v>Dependencia org.apache.tomcat.embed:tomcat-embed-core-10.1.49</x:v>
      </x:c>
      <x:c r="E44" s="7" t="str">
        <x:v>org.apache.tomcat.embed:tomcat-embed-core</x:v>
      </x:c>
      <x:c r="F44" s="7" t="str">
        <x:v>10.1.49</x:v>
      </x:c>
      <x:c r="G44" s="7" t="str">
        <x:v>CWE-670</x:v>
      </x:c>
      <x:c r="H44" s="7" t="str">
        <x:v>CVE-2026-55276</x:v>
      </x:c>
      <x:c r="I44" s="7" t="n">
        <x:v>125</x:v>
      </x:c>
      <x:c r="J44" s="9" t="str">
        <x:v>PENDIENTE</x:v>
      </x:c>
      <x:c r="K44" s="10" t="n">
        <x:v>46310</x:v>
      </x:c>
      <x:c r="L44" s="7" t="str">
        <x:v>Avance 2026-10-15</x:v>
      </x:c>
      <x:c r="M44" s="8" t="str">
        <x:v>Always-Incorrect Control Flow Implementation vulnerability in Apache Tomcat meant that special roles and empty authorisation constraints were not included when the effective web.xm</x:v>
      </x:c>
      <x:c r="N44" s="17"/>
      <x:c r="O44" s="17"/>
    </x:row>
    <x:row r="45" ht="39.599998474121094" hidden="0" customHeight="1">
      <x:c r="A45" s="7" t="str">
        <x:v>SIAJ-0242</x:v>
      </x:c>
      <x:c r="B45" s="7" t="str">
        <x:v>SCA</x:v>
      </x:c>
      <x:c r="C45" s="7" t="str">
        <x:v>CRITICAL</x:v>
      </x:c>
      <x:c r="D45" s="8" t="str">
        <x:v>Dependencia org.apache.tomcat.embed:tomcat-embed-core-10.1.49</x:v>
      </x:c>
      <x:c r="E45" s="7" t="str">
        <x:v>org.apache.tomcat.embed:tomcat-embed-core</x:v>
      </x:c>
      <x:c r="F45" s="7" t="str">
        <x:v>10.1.49</x:v>
      </x:c>
      <x:c r="G45" s="7" t="str">
        <x:v>CWE-390</x:v>
      </x:c>
      <x:c r="H45" s="7" t="str">
        <x:v>CVE-2026-53434</x:v>
      </x:c>
      <x:c r="I45" s="7" t="n">
        <x:v>125</x:v>
      </x:c>
      <x:c r="J45" s="9" t="str">
        <x:v>PENDIENTE</x:v>
      </x:c>
      <x:c r="K45" s="10" t="n">
        <x:v>46310</x:v>
      </x:c>
      <x:c r="L45" s="7" t="str">
        <x:v>Avance 2026-10-15</x:v>
      </x:c>
      <x:c r="M45" s="8" t="str">
        <x:v>Detection of Error Condition Without Action vulnerability in Apache Tomcat when configu ring CRLs for a FFM based connector. This issue affects Apache Tomcat: from 11.0.0-M1 throug</x:v>
      </x:c>
      <x:c r="N45" s="17"/>
      <x:c r="O45" s="17"/>
    </x:row>
    <x:row r="46" ht="39.599998474121094" hidden="0" customHeight="1">
      <x:c r="A46" s="7" t="str">
        <x:v>SIAJ-0304</x:v>
      </x:c>
      <x:c r="B46" s="7" t="str">
        <x:v>SCA</x:v>
      </x:c>
      <x:c r="C46" s="7" t="str">
        <x:v>CRITICAL</x:v>
      </x:c>
      <x:c r="D46" s="8" t="str">
        <x:v>Dependencia org.asynchttpclient:async-http-client-2.10.4</x:v>
      </x:c>
      <x:c r="E46" s="7" t="str">
        <x:v>org.asynchttpclient:async-http-client</x:v>
      </x:c>
      <x:c r="F46" s="7" t="str">
        <x:v>2.10.4</x:v>
      </x:c>
      <x:c r="G46" s="7" t="str">
        <x:v>CWE-287</x:v>
      </x:c>
      <x:c r="H46" s="7" t="str">
        <x:v>CVE-2024-53990</x:v>
      </x:c>
      <x:c r="I46" s="7" t="n">
        <x:v>148</x:v>
      </x:c>
      <x:c r="J46" s="9" t="str">
        <x:v>PENDIENTE</x:v>
      </x:c>
      <x:c r="K46" s="10" t="n">
        <x:v>46310</x:v>
      </x:c>
      <x:c r="L46" s="7" t="str">
        <x:v>Avance 2026-10-15</x:v>
      </x:c>
      <x:c r="M46" s="8" t="str">
        <x:v>The AsyncHttpClient (AHC) library allows Java applications to easily execute HTTP reque sts and asynchronously process HTTP responses. When making any HTTP request, the automatical</x:v>
      </x:c>
      <x:c r="N46" s="17"/>
      <x:c r="O46" s="17"/>
    </x:row>
    <x:row r="47" ht="39.599998474121094" hidden="0" customHeight="1">
      <x:c r="A47" s="7" t="str">
        <x:v>SIAJ-0247</x:v>
      </x:c>
      <x:c r="B47" s="7" t="str">
        <x:v>SCA</x:v>
      </x:c>
      <x:c r="C47" s="7" t="str">
        <x:v>CRITICAL</x:v>
      </x:c>
      <x:c r="D47" s="8" t="str">
        <x:v>Dependencia org.bouncycastle:bcprov-jdk18on-1.78</x:v>
      </x:c>
      <x:c r="E47" s="7" t="str">
        <x:v>org.bouncycastle:bcprov-jdk18on</x:v>
      </x:c>
      <x:c r="F47" s="7" t="str">
        <x:v>1.78</x:v>
      </x:c>
      <x:c r="G47" s="7" t="str">
        <x:v>CWE-327</x:v>
      </x:c>
      <x:c r="H47" s="7" t="str">
        <x:v>CVE-2025-14813</x:v>
      </x:c>
      <x:c r="I47" s="7" t="n">
        <x:v>127</x:v>
      </x:c>
      <x:c r="J47" s="9" t="str">
        <x:v>PENDIENTE</x:v>
      </x:c>
      <x:c r="K47" s="10" t="n">
        <x:v>46310</x:v>
      </x:c>
      <x:c r="L47" s="7" t="str">
        <x:v>Avance 2026-10-15</x:v>
      </x:c>
      <x:c r="M47" s="8" t="str">
        <x:v>Use of a Broken or Risky Cryptographic Algorithm vulnerability in Legion of the Bouncy C astle Inc. BC-JAVA bcprov on all (core modules). This vulnerability is associated with prog</x:v>
      </x:c>
      <x:c r="N47" s="17"/>
      <x:c r="O47" s="17"/>
    </x:row>
    <x:row r="48" ht="39.599998474121094" hidden="0" customHeight="1">
      <x:c r="A48" s="7" t="str">
        <x:v>SIAJ-0357</x:v>
      </x:c>
      <x:c r="B48" s="7" t="str">
        <x:v>SCA</x:v>
      </x:c>
      <x:c r="C48" s="7" t="str">
        <x:v>CRITICAL</x:v>
      </x:c>
      <x:c r="D48" s="8" t="str">
        <x:v>Dependencia org.springframework.boot:spring-boot-autoconfigure-3.4.12</x:v>
      </x:c>
      <x:c r="E48" s="7" t="str">
        <x:v>org.springframework.boot:spring-boot-autoconfigure</x:v>
      </x:c>
      <x:c r="F48" s="7" t="str">
        <x:v>3.4.12</x:v>
      </x:c>
      <x:c r="G48" s="7" t="str">
        <x:v>CWE-295</x:v>
      </x:c>
      <x:c r="H48" s="7" t="str">
        <x:v>CVE-2026-40974</x:v>
      </x:c>
      <x:c r="I48" s="7" t="n">
        <x:v>167</x:v>
      </x:c>
      <x:c r="J48" s="9" t="str">
        <x:v>PENDIENTE</x:v>
      </x:c>
      <x:c r="K48" s="10" t="n">
        <x:v>46310</x:v>
      </x:c>
      <x:c r="L48" s="7" t="str">
        <x:v>Avance 2026-10-15</x:v>
      </x:c>
      <x:c r="M48" s="8" t="str">
        <x:v>Spring Boot's Cassandra auto-configuration does not perform hostname verification whe n establishing an SSL connection to Cassandra. Affected: Spring Boot prior to 3.5.14 and 4.0.0</x:v>
      </x:c>
      <x:c r="N48" s="17"/>
      <x:c r="O48" s="17"/>
    </x:row>
    <x:row r="49" ht="39.599998474121094" hidden="0" customHeight="1">
      <x:c r="A49" s="7" t="str">
        <x:v>SIAJ-0295</x:v>
      </x:c>
      <x:c r="B49" s="7" t="str">
        <x:v>SCA</x:v>
      </x:c>
      <x:c r="C49" s="7" t="str">
        <x:v>CRITICAL</x:v>
      </x:c>
      <x:c r="D49" s="8" t="str">
        <x:v>Dependencia org.springframework.security:spring-security-web-6.4.13</x:v>
      </x:c>
      <x:c r="E49" s="7" t="str">
        <x:v>org.springframework.security:spring-security-web</x:v>
      </x:c>
      <x:c r="F49" s="7" t="str">
        <x:v>6.4.13</x:v>
      </x:c>
      <x:c r="G49" s="7" t="str">
        <x:v>CWE-425</x:v>
      </x:c>
      <x:c r="H49" s="7" t="str">
        <x:v>CVE-2026-22732</x:v>
      </x:c>
      <x:c r="I49" s="7" t="n">
        <x:v>144</x:v>
      </x:c>
      <x:c r="J49" s="9" t="str">
        <x:v>PENDIENTE</x:v>
      </x:c>
      <x:c r="K49" s="10" t="n">
        <x:v>46310</x:v>
      </x:c>
      <x:c r="L49" s="7" t="str">
        <x:v>Avance 2026-10-15</x:v>
      </x:c>
      <x:c r="M49" s="8" t="str">
        <x:v>When applications specify HTTP response headers for servlet applications using Spring S ecurity, there is the possibility that the HTTP Headers will not be written. This issue affe</x:v>
      </x:c>
      <x:c r="N49" s="17"/>
      <x:c r="O49" s="17"/>
    </x:row>
    <x:row r="50" ht="39.599998474121094" hidden="0" customHeight="1">
      <x:c r="A50" s="7" t="str">
        <x:v>SIAJ-0369</x:v>
      </x:c>
      <x:c r="B50" s="7" t="str">
        <x:v>SCA</x:v>
      </x:c>
      <x:c r="C50" s="7" t="str">
        <x:v>CRITICAL</x:v>
      </x:c>
      <x:c r="D50" s="8" t="str">
        <x:v>Dependencia org.thymeleaf:thymeleaf-3.1.3.RELEASE</x:v>
      </x:c>
      <x:c r="E50" s="7" t="str">
        <x:v>org.thymeleaf:thymeleaf</x:v>
      </x:c>
      <x:c r="F50" s="7" t="str">
        <x:v>3.1.3.RELEASE</x:v>
      </x:c>
      <x:c r="G50" s="7" t="str">
        <x:v>CWE-917</x:v>
      </x:c>
      <x:c r="H50" s="7" t="str">
        <x:v>CVE-2026-40478</x:v>
      </x:c>
      <x:c r="I50" s="7" t="n">
        <x:v>172</x:v>
      </x:c>
      <x:c r="J50" s="9" t="str">
        <x:v>PENDIENTE</x:v>
      </x:c>
      <x:c r="K50" s="10" t="n">
        <x:v>46310</x:v>
      </x:c>
      <x:c r="L50" s="7" t="str">
        <x:v>Avance 2026-10-15</x:v>
      </x:c>
      <x:c r="M50" s="8" t="str">
        <x:v>A security bypass vulnerability exists in the expression execution mechanisms of Thymel eaf versions through 3.1.3.RELEASE. Although the library provides mechanisms to prevent expr</x:v>
      </x:c>
      <x:c r="N50" s="17"/>
      <x:c r="O50" s="17"/>
    </x:row>
    <x:row r="51" ht="39.599998474121094" hidden="0" customHeight="1">
      <x:c r="A51" s="7" t="str">
        <x:v>SIAJ-0370</x:v>
      </x:c>
      <x:c r="B51" s="7" t="str">
        <x:v>SCA</x:v>
      </x:c>
      <x:c r="C51" s="7" t="str">
        <x:v>CRITICAL</x:v>
      </x:c>
      <x:c r="D51" s="8" t="str">
        <x:v>Dependencia org.thymeleaf:thymeleaf-3.1.3.RELEASE</x:v>
      </x:c>
      <x:c r="E51" s="7" t="str">
        <x:v>org.thymeleaf:thymeleaf</x:v>
      </x:c>
      <x:c r="F51" s="7" t="str">
        <x:v>3.1.3.RELEASE</x:v>
      </x:c>
      <x:c r="G51" s="7" t="str">
        <x:v>CWE-917</x:v>
      </x:c>
      <x:c r="H51" s="7" t="str">
        <x:v>CVE-2026-41901</x:v>
      </x:c>
      <x:c r="I51" s="7" t="n">
        <x:v>172</x:v>
      </x:c>
      <x:c r="J51" s="9" t="str">
        <x:v>PENDIENTE</x:v>
      </x:c>
      <x:c r="K51" s="10" t="n">
        <x:v>46310</x:v>
      </x:c>
      <x:c r="L51" s="7" t="str">
        <x:v>Avance 2026-10-15</x:v>
      </x:c>
      <x:c r="M51" s="8" t="str">
        <x:v>A security bypass vulnerability exists in the expression execution mechanisms of Thymel eaf through 3.1.4.RELEASE. Although the library provides mechanisms to avoid the execution o</x:v>
      </x:c>
      <x:c r="N51" s="17"/>
      <x:c r="O51" s="17"/>
    </x:row>
    <x:row r="52" ht="39.599998474121094" hidden="0" customHeight="1">
      <x:c r="A52" s="7" t="str">
        <x:v>SIAJ-0371</x:v>
      </x:c>
      <x:c r="B52" s="7" t="str">
        <x:v>SCA</x:v>
      </x:c>
      <x:c r="C52" s="7" t="str">
        <x:v>CRITICAL</x:v>
      </x:c>
      <x:c r="D52" s="8" t="str">
        <x:v>Dependencia org.thymeleaf:thymeleaf-3.1.3.RELEASE</x:v>
      </x:c>
      <x:c r="E52" s="7" t="str">
        <x:v>org.thymeleaf:thymeleaf</x:v>
      </x:c>
      <x:c r="F52" s="7" t="str">
        <x:v>3.1.3.RELEASE</x:v>
      </x:c>
      <x:c r="G52" s="7" t="str">
        <x:v>CWE-917</x:v>
      </x:c>
      <x:c r="H52" s="7" t="str">
        <x:v>CVE-2026-40477</x:v>
      </x:c>
      <x:c r="I52" s="7" t="n">
        <x:v>172</x:v>
      </x:c>
      <x:c r="J52" s="9" t="str">
        <x:v>PENDIENTE</x:v>
      </x:c>
      <x:c r="K52" s="10" t="n">
        <x:v>46310</x:v>
      </x:c>
      <x:c r="L52" s="7" t="str">
        <x:v>Avance 2026-10-15</x:v>
      </x:c>
      <x:c r="M52" s="8" t="str">
        <x:v>A security bypass vulnerability exists in the expression execution mechanisms of Thymel eaf through 3.1.3.RELEASE. Although the library provides mechanisms to prevent expression in</x:v>
      </x:c>
      <x:c r="N52" s="17"/>
      <x:c r="O52" s="17"/>
    </x:row>
    <x:row r="53" ht="39.599998474121094" hidden="0" customHeight="1">
      <x:c r="A53" s="7" t="str">
        <x:v>SIAJ-0375</x:v>
      </x:c>
      <x:c r="B53" s="7" t="str">
        <x:v>SCA</x:v>
      </x:c>
      <x:c r="C53" s="7" t="str">
        <x:v>CRITICAL</x:v>
      </x:c>
      <x:c r="D53" s="8" t="str">
        <x:v>Dependencia org.thymeleaf:thymeleaf-spring6-3.1.3.RELEASE</x:v>
      </x:c>
      <x:c r="E53" s="7" t="str">
        <x:v>org.thymeleaf:thymeleaf-spring6</x:v>
      </x:c>
      <x:c r="F53" s="7" t="str">
        <x:v>3.1.3.RELEASE</x:v>
      </x:c>
      <x:c r="G53" s="7" t="str">
        <x:v>CWE-917</x:v>
      </x:c>
      <x:c r="H53" s="7" t="str">
        <x:v>CVE-2026-40477</x:v>
      </x:c>
      <x:c r="I53" s="7" t="n">
        <x:v>174</x:v>
      </x:c>
      <x:c r="J53" s="9" t="str">
        <x:v>PENDIENTE</x:v>
      </x:c>
      <x:c r="K53" s="10" t="n">
        <x:v>46341</x:v>
      </x:c>
      <x:c r="L53" s="7" t="str">
        <x:v>Avance 2026-11-15</x:v>
      </x:c>
      <x:c r="M53" s="8" t="str">
        <x:v>A security bypass vulnerability exists in the expression execution mechanisms of Thymel eaf through 3.1.3.RELEASE. Although the library provides mechanisms to prevent expression in</x:v>
      </x:c>
      <x:c r="N53" s="17"/>
      <x:c r="O53" s="17"/>
    </x:row>
    <x:row r="54" ht="39.599998474121094" hidden="0" customHeight="1">
      <x:c r="A54" s="7" t="str">
        <x:v>SIAJ-0376</x:v>
      </x:c>
      <x:c r="B54" s="7" t="str">
        <x:v>SCA</x:v>
      </x:c>
      <x:c r="C54" s="7" t="str">
        <x:v>CRITICAL</x:v>
      </x:c>
      <x:c r="D54" s="8" t="str">
        <x:v>Dependencia org.thymeleaf:thymeleaf-spring6-3.1.3.RELEASE</x:v>
      </x:c>
      <x:c r="E54" s="7" t="str">
        <x:v>org.thymeleaf:thymeleaf-spring6</x:v>
      </x:c>
      <x:c r="F54" s="7" t="str">
        <x:v>3.1.3.RELEASE</x:v>
      </x:c>
      <x:c r="G54" s="7" t="str">
        <x:v>CWE-917</x:v>
      </x:c>
      <x:c r="H54" s="7" t="str">
        <x:v>CVE-2026-40478</x:v>
      </x:c>
      <x:c r="I54" s="7" t="n">
        <x:v>174</x:v>
      </x:c>
      <x:c r="J54" s="9" t="str">
        <x:v>PENDIENTE</x:v>
      </x:c>
      <x:c r="K54" s="10" t="n">
        <x:v>46341</x:v>
      </x:c>
      <x:c r="L54" s="7" t="str">
        <x:v>Avance 2026-11-15</x:v>
      </x:c>
      <x:c r="M54" s="8" t="str">
        <x:v>A security bypass vulnerability exists in the expression execution mechanisms of Thymel eaf versions through 3.1.3.RELEASE. Although the library provides mechanisms to prevent expr</x:v>
      </x:c>
      <x:c r="N54" s="17"/>
      <x:c r="O54" s="17"/>
    </x:row>
    <x:row r="55" ht="39.599998474121094" hidden="0" customHeight="1">
      <x:c r="A55" s="7" t="str">
        <x:v>SIAJ-0377</x:v>
      </x:c>
      <x:c r="B55" s="7" t="str">
        <x:v>SCA</x:v>
      </x:c>
      <x:c r="C55" s="7" t="str">
        <x:v>CRITICAL</x:v>
      </x:c>
      <x:c r="D55" s="8" t="str">
        <x:v>Dependencia org.thymeleaf:thymeleaf-spring6-3.1.3.RELEASE</x:v>
      </x:c>
      <x:c r="E55" s="7" t="str">
        <x:v>org.thymeleaf:thymeleaf-spring6</x:v>
      </x:c>
      <x:c r="F55" s="7" t="str">
        <x:v>3.1.3.RELEASE</x:v>
      </x:c>
      <x:c r="G55" s="7" t="str">
        <x:v>CWE-917</x:v>
      </x:c>
      <x:c r="H55" s="7" t="str">
        <x:v>CVE-2026-41901</x:v>
      </x:c>
      <x:c r="I55" s="7" t="n">
        <x:v>174</x:v>
      </x:c>
      <x:c r="J55" s="9" t="str">
        <x:v>PENDIENTE</x:v>
      </x:c>
      <x:c r="K55" s="10" t="n">
        <x:v>46341</x:v>
      </x:c>
      <x:c r="L55" s="7" t="str">
        <x:v>Avance 2026-11-15</x:v>
      </x:c>
      <x:c r="M55" s="8" t="str">
        <x:v>A security bypass vulnerability exists in the expression execution mechanisms of Thymel eaf through 3.1.4.RELEASE. Although the library provides mechanisms to avoid the execution o</x:v>
      </x:c>
      <x:c r="N55" s="17"/>
      <x:c r="O55" s="17"/>
    </x:row>
    <x:row r="56" ht="15" hidden="0" customHeight="1">
      <x:c r="A56" s="7" t="str">
        <x:v>SIAJ-0465</x:v>
      </x:c>
      <x:c r="B56" s="7" t="str">
        <x:v>CONTAINER</x:v>
      </x:c>
      <x:c r="C56" s="7" t="str">
        <x:v>HIGH</x:v>
      </x:c>
      <x:c r="D56" s="8" t="str">
        <x:v>Contenedor acl-2.3.2-2</x:v>
      </x:c>
      <x:c r="E56" s="7" t="str">
        <x:v>acl</x:v>
      </x:c>
      <x:c r="F56" s="7" t="str">
        <x:v>2.3.2-2</x:v>
      </x:c>
      <x:c r="G56" s="7" t="str">
        <x:v>CWE-367</x:v>
      </x:c>
      <x:c r="H56" s="7" t="str">
        <x:v>CVE-2026-54370</x:v>
      </x:c>
      <x:c r="I56" s="7" t="n">
        <x:v>200</x:v>
      </x:c>
      <x:c r="J56" s="9" t="str">
        <x:v>PENDIENTE</x:v>
      </x:c>
      <x:c r="K56" s="10" t="n">
        <x:v>46341</x:v>
      </x:c>
      <x:c r="L56" s="7" t="str">
        <x:v>Avance 2026-11-15</x:v>
      </x:c>
      <x:c r="M56" s="8" t="str">
        <x:v>Actualizar imagen/base y validar compatibilidad en despliegue.</x:v>
      </x:c>
      <x:c r="N56" s="17"/>
      <x:c r="O56" s="17"/>
    </x:row>
    <x:row r="57" ht="15" hidden="0" customHeight="1">
      <x:c r="A57" s="7" t="str">
        <x:v>SIAJ-0466</x:v>
      </x:c>
      <x:c r="B57" s="7" t="str">
        <x:v>CONTAINER</x:v>
      </x:c>
      <x:c r="C57" s="7" t="str">
        <x:v>HIGH</x:v>
      </x:c>
      <x:c r="D57" s="8" t="str">
        <x:v>Contenedor acl-2.3.2-2</x:v>
      </x:c>
      <x:c r="E57" s="7" t="str">
        <x:v>acl</x:v>
      </x:c>
      <x:c r="F57" s="7" t="str">
        <x:v>2.3.2-2</x:v>
      </x:c>
      <x:c r="G57" s="7" t="str">
        <x:v>CWE-59</x:v>
      </x:c>
      <x:c r="H57" s="7" t="str">
        <x:v>CVE-2026-54369</x:v>
      </x:c>
      <x:c r="I57" s="7" t="n">
        <x:v>200</x:v>
      </x:c>
      <x:c r="J57" s="9" t="str">
        <x:v>PENDIENTE</x:v>
      </x:c>
      <x:c r="K57" s="10" t="n">
        <x:v>46341</x:v>
      </x:c>
      <x:c r="L57" s="7" t="str">
        <x:v>Avance 2026-11-15</x:v>
      </x:c>
      <x:c r="M57" s="8" t="str">
        <x:v>Actualizar imagen/base y validar compatibilidad en despliegue.</x:v>
      </x:c>
      <x:c r="N57" s="17"/>
      <x:c r="O57" s="17"/>
    </x:row>
    <x:row r="58" ht="15" hidden="0" customHeight="1">
      <x:c r="A58" s="7" t="str">
        <x:v>SIAJ-0467</x:v>
      </x:c>
      <x:c r="B58" s="7" t="str">
        <x:v>CONTAINER</x:v>
      </x:c>
      <x:c r="C58" s="7" t="str">
        <x:v>HIGH</x:v>
      </x:c>
      <x:c r="D58" s="8" t="str">
        <x:v>Contenedor attr-1:2.5.2-3</x:v>
      </x:c>
      <x:c r="E58" s="7" t="str">
        <x:v>attr</x:v>
      </x:c>
      <x:c r="F58" s="7" t="str">
        <x:v>1:2.5.2-3</x:v>
      </x:c>
      <x:c r="G58" s="7" t="str">
        <x:v>CWE-59</x:v>
      </x:c>
      <x:c r="H58" s="7" t="str">
        <x:v>CVE-2026-54371</x:v>
      </x:c>
      <x:c r="I58" s="7" t="n">
        <x:v>200</x:v>
      </x:c>
      <x:c r="J58" s="9" t="str">
        <x:v>PENDIENTE</x:v>
      </x:c>
      <x:c r="K58" s="10" t="n">
        <x:v>46341</x:v>
      </x:c>
      <x:c r="L58" s="7" t="str">
        <x:v>Avance 2026-11-15</x:v>
      </x:c>
      <x:c r="M58" s="8" t="str">
        <x:v>Actualizar imagen/base y validar compatibilidad en despliegue.</x:v>
      </x:c>
      <x:c r="N58" s="17"/>
      <x:c r="O58" s="17"/>
    </x:row>
    <x:row r="59" ht="15" hidden="0" customHeight="1">
      <x:c r="A59" s="7" t="str">
        <x:v>SIAJ-0424</x:v>
      </x:c>
      <x:c r="B59" s="7" t="str">
        <x:v>CONTAINER</x:v>
      </x:c>
      <x:c r="C59" s="7" t="str">
        <x:v>HIGH</x:v>
      </x:c>
      <x:c r="D59" s="8" t="str">
        <x:v>Contenedor coreutils-9.7-3</x:v>
      </x:c>
      <x:c r="E59" s="7" t="str">
        <x:v>coreutils</x:v>
      </x:c>
      <x:c r="F59" s="7" t="str">
        <x:v>9.7-3</x:v>
      </x:c>
      <x:c r="G59" s="7" t="str">
        <x:v>CWE-362</x:v>
      </x:c>
      <x:c r="H59" s="7" t="str">
        <x:v>CVE-2017-18018</x:v>
      </x:c>
      <x:c r="I59" s="7" t="n">
        <x:v>189</x:v>
      </x:c>
      <x:c r="J59" s="9" t="str">
        <x:v>PENDIENTE</x:v>
      </x:c>
      <x:c r="K59" s="10" t="n">
        <x:v>46341</x:v>
      </x:c>
      <x:c r="L59" s="7" t="str">
        <x:v>Avance 2026-11-15</x:v>
      </x:c>
      <x:c r="M59" s="8" t="str">
        <x:v>Actualizar imagen/base y validar compatibilidad en despliegue.</x:v>
      </x:c>
      <x:c r="N59" s="17"/>
      <x:c r="O59" s="17"/>
    </x:row>
    <x:row r="60" ht="15" hidden="0" customHeight="1">
      <x:c r="A60" s="7" t="str">
        <x:v>SIAJ-0471</x:v>
      </x:c>
      <x:c r="B60" s="7" t="str">
        <x:v>CONTAINER</x:v>
      </x:c>
      <x:c r="C60" s="7" t="str">
        <x:v>HIGH</x:v>
      </x:c>
      <x:c r="D60" s="8" t="str">
        <x:v>Contenedor glibc-2.41-12+deb13u3</x:v>
      </x:c>
      <x:c r="E60" s="7" t="str">
        <x:v>glibc</x:v>
      </x:c>
      <x:c r="F60" s="7" t="str">
        <x:v>2.41-12+deb13u3</x:v>
      </x:c>
      <x:c r="G60" s="7" t="str">
        <x:v>CWE-674</x:v>
      </x:c>
      <x:c r="H60" s="7" t="str">
        <x:v>CVE-2018-20796</x:v>
      </x:c>
      <x:c r="I60" s="7" t="n">
        <x:v>201</x:v>
      </x:c>
      <x:c r="J60" s="9" t="str">
        <x:v>PENDIENTE</x:v>
      </x:c>
      <x:c r="K60" s="10" t="n">
        <x:v>46341</x:v>
      </x:c>
      <x:c r="L60" s="7" t="str">
        <x:v>Avance 2026-11-15</x:v>
      </x:c>
      <x:c r="M60" s="8" t="str">
        <x:v>Actualizar imagen/base y validar compatibilidad en despliegue.</x:v>
      </x:c>
      <x:c r="N60" s="17"/>
      <x:c r="O60" s="17"/>
    </x:row>
    <x:row r="61" ht="15" hidden="0" customHeight="1">
      <x:c r="A61" s="7" t="str">
        <x:v>SIAJ-0472</x:v>
      </x:c>
      <x:c r="B61" s="7" t="str">
        <x:v>CONTAINER</x:v>
      </x:c>
      <x:c r="C61" s="7" t="str">
        <x:v>HIGH</x:v>
      </x:c>
      <x:c r="D61" s="8" t="str">
        <x:v>Contenedor glibc-2.41-12+deb13u3</x:v>
      </x:c>
      <x:c r="E61" s="7" t="str">
        <x:v>glibc</x:v>
      </x:c>
      <x:c r="F61" s="7" t="str">
        <x:v>2.41-12+deb13u3</x:v>
      </x:c>
      <x:c r="G61" s="7" t="str">
        <x:v>CWE-127</x:v>
      </x:c>
      <x:c r="H61" s="7" t="str">
        <x:v>CVE-2026-5928</x:v>
      </x:c>
      <x:c r="I61" s="7" t="n">
        <x:v>202</x:v>
      </x:c>
      <x:c r="J61" s="9" t="str">
        <x:v>PENDIENTE</x:v>
      </x:c>
      <x:c r="K61" s="10" t="n">
        <x:v>46341</x:v>
      </x:c>
      <x:c r="L61" s="7" t="str">
        <x:v>Avance 2026-11-15</x:v>
      </x:c>
      <x:c r="M61" s="8" t="str">
        <x:v>Actualizar imagen/base y validar compatibilidad en despliegue.</x:v>
      </x:c>
      <x:c r="N61" s="17"/>
      <x:c r="O61" s="17"/>
    </x:row>
    <x:row r="62" ht="15" hidden="0" customHeight="1">
      <x:c r="A62" s="7" t="str">
        <x:v>SIAJ-0473</x:v>
      </x:c>
      <x:c r="B62" s="7" t="str">
        <x:v>CONTAINER</x:v>
      </x:c>
      <x:c r="C62" s="7" t="str">
        <x:v>HIGH</x:v>
      </x:c>
      <x:c r="D62" s="8" t="str">
        <x:v>Contenedor glibc-2.41-12+deb13u3</x:v>
      </x:c>
      <x:c r="E62" s="7" t="str">
        <x:v>glibc</x:v>
      </x:c>
      <x:c r="F62" s="7" t="str">
        <x:v>2.41-12+deb13u3</x:v>
      </x:c>
      <x:c r="G62" s="7" t="str">
        <x:v>CWE-674</x:v>
      </x:c>
      <x:c r="H62" s="7" t="str">
        <x:v>CVE-2019-9192</x:v>
      </x:c>
      <x:c r="I62" s="7" t="n">
        <x:v>202</x:v>
      </x:c>
      <x:c r="J62" s="9" t="str">
        <x:v>PENDIENTE</x:v>
      </x:c>
      <x:c r="K62" s="10" t="n">
        <x:v>46341</x:v>
      </x:c>
      <x:c r="L62" s="7" t="str">
        <x:v>Avance 2026-11-15</x:v>
      </x:c>
      <x:c r="M62" s="8" t="str">
        <x:v>Actualizar imagen/base y validar compatibilidad en despliegue.</x:v>
      </x:c>
      <x:c r="N62" s="17"/>
      <x:c r="O62" s="17"/>
    </x:row>
    <x:row r="63" ht="15" hidden="0" customHeight="1">
      <x:c r="A63" s="7" t="str">
        <x:v>SIAJ-0474</x:v>
      </x:c>
      <x:c r="B63" s="7" t="str">
        <x:v>CONTAINER</x:v>
      </x:c>
      <x:c r="C63" s="7" t="str">
        <x:v>HIGH</x:v>
      </x:c>
      <x:c r="D63" s="8" t="str">
        <x:v>Contenedor glibc-2.41-12+deb13u3</x:v>
      </x:c>
      <x:c r="E63" s="7" t="str">
        <x:v>glibc</x:v>
      </x:c>
      <x:c r="F63" s="7" t="str">
        <x:v>2.41-12+deb13u3</x:v>
      </x:c>
      <x:c r="G63" s="7" t="str">
        <x:v>CWE-787</x:v>
      </x:c>
      <x:c r="H63" s="7" t="str">
        <x:v>CVE-2026-5435</x:v>
      </x:c>
      <x:c r="I63" s="7" t="n">
        <x:v>202</x:v>
      </x:c>
      <x:c r="J63" s="9" t="str">
        <x:v>PENDIENTE</x:v>
      </x:c>
      <x:c r="K63" s="10" t="n">
        <x:v>46341</x:v>
      </x:c>
      <x:c r="L63" s="7" t="str">
        <x:v>Avance 2026-11-15</x:v>
      </x:c>
      <x:c r="M63" s="8" t="str">
        <x:v>Actualizar imagen/base y validar compatibilidad en despliegue.</x:v>
      </x:c>
      <x:c r="N63" s="17"/>
      <x:c r="O63" s="17"/>
    </x:row>
    <x:row r="64" ht="15" hidden="0" customHeight="1">
      <x:c r="A64" s="7" t="str">
        <x:v>SIAJ-0495</x:v>
      </x:c>
      <x:c r="B64" s="7" t="str">
        <x:v>CONTAINER</x:v>
      </x:c>
      <x:c r="C64" s="7" t="str">
        <x:v>HIGH</x:v>
      </x:c>
      <x:c r="D64" s="8" t="str">
        <x:v>Contenedor gnupg2-2.4.7-21+deb13u1</x:v>
      </x:c>
      <x:c r="E64" s="7" t="str">
        <x:v>gnupg2</x:v>
      </x:c>
      <x:c r="F64" s="7" t="str">
        <x:v>2.4.7-21+deb13u1</x:v>
      </x:c>
      <x:c r="G64" s="7" t="str">
        <x:v>CWE-121</x:v>
      </x:c>
      <x:c r="H64" s="7" t="str">
        <x:v>CVE-2026-24882</x:v>
      </x:c>
      <x:c r="I64" s="7" t="n">
        <x:v>208</x:v>
      </x:c>
      <x:c r="J64" s="9" t="str">
        <x:v>PENDIENTE</x:v>
      </x:c>
      <x:c r="K64" s="10" t="n">
        <x:v>46341</x:v>
      </x:c>
      <x:c r="L64" s="7" t="str">
        <x:v>Avance 2026-11-15</x:v>
      </x:c>
      <x:c r="M64" s="8" t="str">
        <x:v>Actualizar imagen/base y validar compatibilidad en despliegue.</x:v>
      </x:c>
      <x:c r="N64" s="17"/>
      <x:c r="O64" s="17"/>
    </x:row>
    <x:row r="65" ht="15" hidden="0" customHeight="1">
      <x:c r="A65" s="7" t="str">
        <x:v>SIAJ-0380</x:v>
      </x:c>
      <x:c r="B65" s="7" t="str">
        <x:v>CONTAINER</x:v>
      </x:c>
      <x:c r="C65" s="7" t="str">
        <x:v>HIGH</x:v>
      </x:c>
      <x:c r="D65" s="8" t="str">
        <x:v>Contenedor golang-1.24-1.24.6</x:v>
      </x:c>
      <x:c r="E65" s="7" t="str">
        <x:v>golang-1.24</x:v>
      </x:c>
      <x:c r="F65" s="7" t="str">
        <x:v>1.24.6</x:v>
      </x:c>
      <x:c r="G65" s="7" t="str">
        <x:v>CWE-94</x:v>
      </x:c>
      <x:c r="H65" s="7" t="str">
        <x:v>CVE-2025-61732</x:v>
      </x:c>
      <x:c r="I65" s="7" t="n">
        <x:v>177</x:v>
      </x:c>
      <x:c r="J65" s="9" t="str">
        <x:v>PENDIENTE</x:v>
      </x:c>
      <x:c r="K65" s="10" t="n">
        <x:v>46341</x:v>
      </x:c>
      <x:c r="L65" s="7" t="str">
        <x:v>Avance 2026-11-15</x:v>
      </x:c>
      <x:c r="M65" s="8" t="str">
        <x:v>Actualizar imagen/base y validar compatibilidad en despliegue.</x:v>
      </x:c>
      <x:c r="N65" s="17"/>
      <x:c r="O65" s="17"/>
    </x:row>
    <x:row r="66" ht="15" hidden="0" customHeight="1">
      <x:c r="A66" s="7" t="str">
        <x:v>SIAJ-0381</x:v>
      </x:c>
      <x:c r="B66" s="7" t="str">
        <x:v>CONTAINER</x:v>
      </x:c>
      <x:c r="C66" s="7" t="str">
        <x:v>HIGH</x:v>
      </x:c>
      <x:c r="D66" s="8" t="str">
        <x:v>Contenedor golang-1.24-1.24.6</x:v>
      </x:c>
      <x:c r="E66" s="7" t="str">
        <x:v>golang-1.24</x:v>
      </x:c>
      <x:c r="F66" s="7" t="str">
        <x:v>1.24.6</x:v>
      </x:c>
      <x:c r="G66" s="7" t="str">
        <x:v>CWE-770</x:v>
      </x:c>
      <x:c r="H66" s="7" t="str">
        <x:v>CVE-2025-61723</x:v>
      </x:c>
      <x:c r="I66" s="7" t="n">
        <x:v>178</x:v>
      </x:c>
      <x:c r="J66" s="9" t="str">
        <x:v>PENDIENTE</x:v>
      </x:c>
      <x:c r="K66" s="10" t="n">
        <x:v>46341</x:v>
      </x:c>
      <x:c r="L66" s="7" t="str">
        <x:v>Avance 2026-11-15</x:v>
      </x:c>
      <x:c r="M66" s="8" t="str">
        <x:v>Actualizar imagen/base y validar compatibilidad en despliegue.</x:v>
      </x:c>
      <x:c r="N66" s="17"/>
      <x:c r="O66" s="17"/>
    </x:row>
    <x:row r="67" ht="15" hidden="0" customHeight="1">
      <x:c r="A67" s="7" t="str">
        <x:v>SIAJ-0382</x:v>
      </x:c>
      <x:c r="B67" s="7" t="str">
        <x:v>CONTAINER</x:v>
      </x:c>
      <x:c r="C67" s="7" t="str">
        <x:v>HIGH</x:v>
      </x:c>
      <x:c r="D67" s="8" t="str">
        <x:v>Contenedor golang-1.24-1.24.6</x:v>
      </x:c>
      <x:c r="E67" s="7" t="str">
        <x:v>golang-1.24</x:v>
      </x:c>
      <x:c r="F67" s="7" t="str">
        <x:v>1.24.6</x:v>
      </x:c>
      <x:c r="G67" s="7" t="str">
        <x:v>CWE-407</x:v>
      </x:c>
      <x:c r="H67" s="7" t="str">
        <x:v>CVE-2025-58187</x:v>
      </x:c>
      <x:c r="I67" s="7" t="n">
        <x:v>178</x:v>
      </x:c>
      <x:c r="J67" s="9" t="str">
        <x:v>PENDIENTE</x:v>
      </x:c>
      <x:c r="K67" s="10" t="n">
        <x:v>46341</x:v>
      </x:c>
      <x:c r="L67" s="7" t="str">
        <x:v>Avance 2026-11-15</x:v>
      </x:c>
      <x:c r="M67" s="8" t="str">
        <x:v>Actualizar imagen/base y validar compatibilidad en despliegue.</x:v>
      </x:c>
      <x:c r="N67" s="17"/>
      <x:c r="O67" s="17"/>
    </x:row>
    <x:row r="68" ht="15" hidden="0" customHeight="1">
      <x:c r="A68" s="7" t="str">
        <x:v>SIAJ-0383</x:v>
      </x:c>
      <x:c r="B68" s="7" t="str">
        <x:v>CONTAINER</x:v>
      </x:c>
      <x:c r="C68" s="7" t="str">
        <x:v>HIGH</x:v>
      </x:c>
      <x:c r="D68" s="8" t="str">
        <x:v>Contenedor golang-1.24-1.24.6</x:v>
      </x:c>
      <x:c r="E68" s="7" t="str">
        <x:v>golang-1.24</x:v>
      </x:c>
      <x:c r="F68" s="7" t="str">
        <x:v>1.24.6</x:v>
      </x:c>
      <x:c r="G68" s="7" t="str">
        <x:v>CWE-295</x:v>
      </x:c>
      <x:c r="H68" s="7" t="str">
        <x:v>CVE-2025-58188</x:v>
      </x:c>
      <x:c r="I68" s="7" t="n">
        <x:v>178</x:v>
      </x:c>
      <x:c r="J68" s="9" t="str">
        <x:v>PENDIENTE</x:v>
      </x:c>
      <x:c r="K68" s="10" t="n">
        <x:v>46341</x:v>
      </x:c>
      <x:c r="L68" s="7" t="str">
        <x:v>Avance 2026-11-15</x:v>
      </x:c>
      <x:c r="M68" s="8" t="str">
        <x:v>Actualizar imagen/base y validar compatibilidad en despliegue.</x:v>
      </x:c>
      <x:c r="N68" s="17"/>
      <x:c r="O68" s="17"/>
    </x:row>
    <x:row r="69" ht="15" hidden="0" customHeight="1">
      <x:c r="A69" s="7" t="str">
        <x:v>SIAJ-0384</x:v>
      </x:c>
      <x:c r="B69" s="7" t="str">
        <x:v>CONTAINER</x:v>
      </x:c>
      <x:c r="C69" s="7" t="str">
        <x:v>HIGH</x:v>
      </x:c>
      <x:c r="D69" s="8" t="str">
        <x:v>Contenedor golang-1.24-1.24.6</x:v>
      </x:c>
      <x:c r="E69" s="7" t="str">
        <x:v>golang-1.24</x:v>
      </x:c>
      <x:c r="F69" s="7" t="str">
        <x:v>1.24.6</x:v>
      </x:c>
      <x:c r="G69" s="7" t="str">
        <x:v>CWE-407</x:v>
      </x:c>
      <x:c r="H69" s="7" t="str">
        <x:v>CVE-2026-42504</x:v>
      </x:c>
      <x:c r="I69" s="7" t="n">
        <x:v>178</x:v>
      </x:c>
      <x:c r="J69" s="9" t="str">
        <x:v>PENDIENTE</x:v>
      </x:c>
      <x:c r="K69" s="10" t="n">
        <x:v>46341</x:v>
      </x:c>
      <x:c r="L69" s="7" t="str">
        <x:v>Avance 2026-11-15</x:v>
      </x:c>
      <x:c r="M69" s="8" t="str">
        <x:v>Actualizar imagen/base y validar compatibilidad en despliegue.</x:v>
      </x:c>
      <x:c r="N69" s="17"/>
      <x:c r="O69" s="17"/>
    </x:row>
    <x:row r="70" ht="15" hidden="0" customHeight="1">
      <x:c r="A70" s="7" t="str">
        <x:v>SIAJ-0385</x:v>
      </x:c>
      <x:c r="B70" s="7" t="str">
        <x:v>CONTAINER</x:v>
      </x:c>
      <x:c r="C70" s="7" t="str">
        <x:v>HIGH</x:v>
      </x:c>
      <x:c r="D70" s="8" t="str">
        <x:v>Contenedor golang-1.24-1.24.6</x:v>
      </x:c>
      <x:c r="E70" s="7" t="str">
        <x:v>golang-1.24</x:v>
      </x:c>
      <x:c r="F70" s="7" t="str">
        <x:v>1.24.6</x:v>
      </x:c>
      <x:c r="G70" s="7" t="str">
        <x:v>CWE-73</x:v>
      </x:c>
      <x:c r="H70" s="7" t="str">
        <x:v>CVE-2025-4674</x:v>
      </x:c>
      <x:c r="I70" s="7" t="n">
        <x:v>179</x:v>
      </x:c>
      <x:c r="J70" s="9" t="str">
        <x:v>PENDIENTE</x:v>
      </x:c>
      <x:c r="K70" s="10" t="n">
        <x:v>46341</x:v>
      </x:c>
      <x:c r="L70" s="7" t="str">
        <x:v>Avance 2026-11-15</x:v>
      </x:c>
      <x:c r="M70" s="8" t="str">
        <x:v>Actualizar imagen/base y validar compatibilidad en despliegue.</x:v>
      </x:c>
      <x:c r="N70" s="17"/>
      <x:c r="O70" s="17"/>
    </x:row>
    <x:row r="71" ht="15" hidden="0" customHeight="1">
      <x:c r="A71" s="7" t="str">
        <x:v>SIAJ-0386</x:v>
      </x:c>
      <x:c r="B71" s="7" t="str">
        <x:v>CONTAINER</x:v>
      </x:c>
      <x:c r="C71" s="7" t="str">
        <x:v>HIGH</x:v>
      </x:c>
      <x:c r="D71" s="8" t="str">
        <x:v>Contenedor golang-1.24-1.24.6</x:v>
      </x:c>
      <x:c r="E71" s="7" t="str">
        <x:v>golang-1.24</x:v>
      </x:c>
      <x:c r="F71" s="7" t="str">
        <x:v>1.24.6</x:v>
      </x:c>
      <x:c r="G71" s="7" t="str">
        <x:v>CWE-295</x:v>
      </x:c>
      <x:c r="H71" s="7" t="str">
        <x:v>CVE-2025-61729</x:v>
      </x:c>
      <x:c r="I71" s="7" t="n">
        <x:v>179</x:v>
      </x:c>
      <x:c r="J71" s="9" t="str">
        <x:v>PENDIENTE</x:v>
      </x:c>
      <x:c r="K71" s="10" t="n">
        <x:v>46371</x:v>
      </x:c>
      <x:c r="L71" s="7" t="str">
        <x:v>Avance 2026-12-15</x:v>
      </x:c>
      <x:c r="M71" s="8" t="str">
        <x:v>Actualizar imagen/base y validar compatibilidad en despliegue.</x:v>
      </x:c>
      <x:c r="N71" s="17"/>
      <x:c r="O71" s="17"/>
    </x:row>
    <x:row r="72" ht="15" hidden="0" customHeight="1">
      <x:c r="A72" s="7" t="str">
        <x:v>SIAJ-0387</x:v>
      </x:c>
      <x:c r="B72" s="7" t="str">
        <x:v>CONTAINER</x:v>
      </x:c>
      <x:c r="C72" s="7" t="str">
        <x:v>HIGH</x:v>
      </x:c>
      <x:c r="D72" s="8" t="str">
        <x:v>Contenedor golang-1.24-1.24.6</x:v>
      </x:c>
      <x:c r="E72" s="7" t="str">
        <x:v>golang-1.24</x:v>
      </x:c>
      <x:c r="F72" s="7" t="str">
        <x:v>1.24.6</x:v>
      </x:c>
      <x:c r="G72" s="7" t="str">
        <x:v>CWE-362</x:v>
      </x:c>
      <x:c r="H72" s="7" t="str">
        <x:v>CVE-2025-47907</x:v>
      </x:c>
      <x:c r="I72" s="7" t="n">
        <x:v>179</x:v>
      </x:c>
      <x:c r="J72" s="9" t="str">
        <x:v>PENDIENTE</x:v>
      </x:c>
      <x:c r="K72" s="10" t="n">
        <x:v>46371</x:v>
      </x:c>
      <x:c r="L72" s="7" t="str">
        <x:v>Avance 2026-12-15</x:v>
      </x:c>
      <x:c r="M72" s="8" t="str">
        <x:v>Actualizar imagen/base y validar compatibilidad en despliegue.</x:v>
      </x:c>
      <x:c r="N72" s="17"/>
      <x:c r="O72" s="17"/>
    </x:row>
    <x:row r="73" ht="15" hidden="0" customHeight="1">
      <x:c r="A73" s="7" t="str">
        <x:v>SIAJ-0388</x:v>
      </x:c>
      <x:c r="B73" s="7" t="str">
        <x:v>CONTAINER</x:v>
      </x:c>
      <x:c r="C73" s="7" t="str">
        <x:v>HIGH</x:v>
      </x:c>
      <x:c r="D73" s="8" t="str">
        <x:v>Contenedor golang-1.24-1.24.6</x:v>
      </x:c>
      <x:c r="E73" s="7" t="str">
        <x:v>golang-1.24</x:v>
      </x:c>
      <x:c r="F73" s="7" t="str">
        <x:v>1.24.6</x:v>
      </x:c>
      <x:c r="G73" s="7" t="str"/>
      <x:c r="H73" s="7" t="str">
        <x:v>CVE-2025-61725</x:v>
      </x:c>
      <x:c r="I73" s="7" t="n">
        <x:v>180</x:v>
      </x:c>
      <x:c r="J73" s="9" t="str">
        <x:v>PENDIENTE</x:v>
      </x:c>
      <x:c r="K73" s="10" t="n">
        <x:v>46371</x:v>
      </x:c>
      <x:c r="L73" s="7" t="str">
        <x:v>Avance 2026-12-15</x:v>
      </x:c>
      <x:c r="M73" s="8" t="str">
        <x:v>Actualizar imagen/base y validar compatibilidad en despliegue.</x:v>
      </x:c>
      <x:c r="N73" s="17"/>
      <x:c r="O73" s="17"/>
    </x:row>
    <x:row r="74" ht="15" hidden="0" customHeight="1">
      <x:c r="A74" s="7" t="str">
        <x:v>SIAJ-0389</x:v>
      </x:c>
      <x:c r="B74" s="7" t="str">
        <x:v>CONTAINER</x:v>
      </x:c>
      <x:c r="C74" s="7" t="str">
        <x:v>HIGH</x:v>
      </x:c>
      <x:c r="D74" s="8" t="str">
        <x:v>Contenedor golang-1.24-1.24.6</x:v>
      </x:c>
      <x:c r="E74" s="7" t="str">
        <x:v>golang-1.24</x:v>
      </x:c>
      <x:c r="F74" s="7" t="str">
        <x:v>1.24.6</x:v>
      </x:c>
      <x:c r="G74" s="7" t="str">
        <x:v>CWE-770</x:v>
      </x:c>
      <x:c r="H74" s="7" t="str">
        <x:v>CVE-2025-61726</x:v>
      </x:c>
      <x:c r="I74" s="7" t="n">
        <x:v>180</x:v>
      </x:c>
      <x:c r="J74" s="9" t="str">
        <x:v>PENDIENTE</x:v>
      </x:c>
      <x:c r="K74" s="10" t="n">
        <x:v>46371</x:v>
      </x:c>
      <x:c r="L74" s="7" t="str">
        <x:v>Avance 2026-12-15</x:v>
      </x:c>
      <x:c r="M74" s="8" t="str">
        <x:v>Actualizar imagen/base y validar compatibilidad en despliegue.</x:v>
      </x:c>
      <x:c r="N74" s="17"/>
      <x:c r="O74" s="17"/>
    </x:row>
    <x:row r="75" ht="15" hidden="0" customHeight="1">
      <x:c r="A75" s="7" t="str">
        <x:v>SIAJ-0390</x:v>
      </x:c>
      <x:c r="B75" s="7" t="str">
        <x:v>CONTAINER</x:v>
      </x:c>
      <x:c r="C75" s="7" t="str">
        <x:v>HIGH</x:v>
      </x:c>
      <x:c r="D75" s="8" t="str">
        <x:v>Contenedor golang-1.24-1.24.6</x:v>
      </x:c>
      <x:c r="E75" s="7" t="str">
        <x:v>golang-1.24</x:v>
      </x:c>
      <x:c r="F75" s="7" t="str">
        <x:v>1.24.6</x:v>
      </x:c>
      <x:c r="G75" s="7" t="str">
        <x:v>NVD-CWE-noinfo</x:v>
      </x:c>
      <x:c r="H75" s="7" t="str">
        <x:v>CVE-2025-61731</x:v>
      </x:c>
      <x:c r="I75" s="7" t="n">
        <x:v>180</x:v>
      </x:c>
      <x:c r="J75" s="9" t="str">
        <x:v>PENDIENTE</x:v>
      </x:c>
      <x:c r="K75" s="10" t="n">
        <x:v>46371</x:v>
      </x:c>
      <x:c r="L75" s="7" t="str">
        <x:v>Avance 2026-12-15</x:v>
      </x:c>
      <x:c r="M75" s="8" t="str">
        <x:v>Actualizar imagen/base y validar compatibilidad en despliegue.</x:v>
      </x:c>
      <x:c r="N75" s="17"/>
      <x:c r="O75" s="17"/>
    </x:row>
    <x:row r="76" ht="15" hidden="0" customHeight="1">
      <x:c r="A76" s="7" t="str">
        <x:v>SIAJ-0391</x:v>
      </x:c>
      <x:c r="B76" s="7" t="str">
        <x:v>CONTAINER</x:v>
      </x:c>
      <x:c r="C76" s="7" t="str">
        <x:v>HIGH</x:v>
      </x:c>
      <x:c r="D76" s="8" t="str">
        <x:v>Contenedor golang-1.24-1.24.6</x:v>
      </x:c>
      <x:c r="E76" s="7" t="str">
        <x:v>golang-1.24</x:v>
      </x:c>
      <x:c r="F76" s="7" t="str">
        <x:v>1.24.6</x:v>
      </x:c>
      <x:c r="G76" s="7" t="str">
        <x:v>CWE-787</x:v>
      </x:c>
      <x:c r="H76" s="7" t="str">
        <x:v>CVE-2025-68119</x:v>
      </x:c>
      <x:c r="I76" s="7" t="n">
        <x:v>180</x:v>
      </x:c>
      <x:c r="J76" s="9" t="str">
        <x:v>PENDIENTE</x:v>
      </x:c>
      <x:c r="K76" s="10" t="n">
        <x:v>46371</x:v>
      </x:c>
      <x:c r="L76" s="7" t="str">
        <x:v>Avance 2026-12-15</x:v>
      </x:c>
      <x:c r="M76" s="8" t="str">
        <x:v>Actualizar imagen/base y validar compatibilidad en despliegue.</x:v>
      </x:c>
      <x:c r="N76" s="17"/>
      <x:c r="O76" s="17"/>
    </x:row>
    <x:row r="77" ht="15" hidden="0" customHeight="1">
      <x:c r="A77" s="7" t="str">
        <x:v>SIAJ-0392</x:v>
      </x:c>
      <x:c r="B77" s="7" t="str">
        <x:v>CONTAINER</x:v>
      </x:c>
      <x:c r="C77" s="7" t="str">
        <x:v>HIGH</x:v>
      </x:c>
      <x:c r="D77" s="8" t="str">
        <x:v>Contenedor golang-1.24-1.24.6</x:v>
      </x:c>
      <x:c r="E77" s="7" t="str">
        <x:v>golang-1.24</x:v>
      </x:c>
      <x:c r="F77" s="7" t="str">
        <x:v>1.24.6</x:v>
      </x:c>
      <x:c r="G77" s="7" t="str">
        <x:v>CWE-61</x:v>
      </x:c>
      <x:c r="H77" s="7" t="str">
        <x:v>CVE-2026-39822</x:v>
      </x:c>
      <x:c r="I77" s="7" t="n">
        <x:v>181</x:v>
      </x:c>
      <x:c r="J77" s="9" t="str">
        <x:v>PENDIENTE</x:v>
      </x:c>
      <x:c r="K77" s="10" t="n">
        <x:v>46371</x:v>
      </x:c>
      <x:c r="L77" s="7" t="str">
        <x:v>Avance 2026-12-15</x:v>
      </x:c>
      <x:c r="M77" s="8" t="str">
        <x:v>Actualizar imagen/base y validar compatibilidad en despliegue.</x:v>
      </x:c>
      <x:c r="N77" s="17"/>
      <x:c r="O77" s="17"/>
    </x:row>
    <x:row r="78" ht="15" hidden="0" customHeight="1">
      <x:c r="A78" s="7" t="str">
        <x:v>SIAJ-0393</x:v>
      </x:c>
      <x:c r="B78" s="7" t="str">
        <x:v>CONTAINER</x:v>
      </x:c>
      <x:c r="C78" s="7" t="str">
        <x:v>HIGH</x:v>
      </x:c>
      <x:c r="D78" s="8" t="str">
        <x:v>Contenedor golang-1.24-1.24.6</x:v>
      </x:c>
      <x:c r="E78" s="7" t="str">
        <x:v>golang-1.24</x:v>
      </x:c>
      <x:c r="F78" s="7" t="str">
        <x:v>1.24.6</x:v>
      </x:c>
      <x:c r="G78" s="7" t="str">
        <x:v>CWE-770</x:v>
      </x:c>
      <x:c r="H78" s="7" t="str">
        <x:v>CVE-2026-32283</x:v>
      </x:c>
      <x:c r="I78" s="7" t="n">
        <x:v>181</x:v>
      </x:c>
      <x:c r="J78" s="9" t="str">
        <x:v>PENDIENTE</x:v>
      </x:c>
      <x:c r="K78" s="10" t="n">
        <x:v>46371</x:v>
      </x:c>
      <x:c r="L78" s="7" t="str">
        <x:v>Avance 2026-12-15</x:v>
      </x:c>
      <x:c r="M78" s="8" t="str">
        <x:v>Actualizar imagen/base y validar compatibilidad en despliegue.</x:v>
      </x:c>
      <x:c r="N78" s="17"/>
      <x:c r="O78" s="17"/>
    </x:row>
    <x:row r="79" ht="15" hidden="0" customHeight="1">
      <x:c r="A79" s="7" t="str">
        <x:v>SIAJ-0394</x:v>
      </x:c>
      <x:c r="B79" s="7" t="str">
        <x:v>CONTAINER</x:v>
      </x:c>
      <x:c r="C79" s="7" t="str">
        <x:v>HIGH</x:v>
      </x:c>
      <x:c r="D79" s="8" t="str">
        <x:v>Contenedor golang-1.24-1.24.6</x:v>
      </x:c>
      <x:c r="E79" s="7" t="str">
        <x:v>golang-1.24</x:v>
      </x:c>
      <x:c r="F79" s="7" t="str">
        <x:v>1.24.6</x:v>
      </x:c>
      <x:c r="G79" s="7" t="str">
        <x:v>CWE-295</x:v>
      </x:c>
      <x:c r="H79" s="7" t="str">
        <x:v>CVE-2026-32281</x:v>
      </x:c>
      <x:c r="I79" s="7" t="n">
        <x:v>181</x:v>
      </x:c>
      <x:c r="J79" s="9" t="str">
        <x:v>PENDIENTE</x:v>
      </x:c>
      <x:c r="K79" s="10" t="n">
        <x:v>46371</x:v>
      </x:c>
      <x:c r="L79" s="7" t="str">
        <x:v>Avance 2026-12-15</x:v>
      </x:c>
      <x:c r="M79" s="8" t="str">
        <x:v>Actualizar imagen/base y validar compatibilidad en despliegue.</x:v>
      </x:c>
      <x:c r="N79" s="17"/>
      <x:c r="O79" s="17"/>
    </x:row>
    <x:row r="80" ht="15" hidden="0" customHeight="1">
      <x:c r="A80" s="7" t="str">
        <x:v>SIAJ-0395</x:v>
      </x:c>
      <x:c r="B80" s="7" t="str">
        <x:v>CONTAINER</x:v>
      </x:c>
      <x:c r="C80" s="7" t="str">
        <x:v>HIGH</x:v>
      </x:c>
      <x:c r="D80" s="8" t="str">
        <x:v>Contenedor golang-1.24-1.24.6</x:v>
      </x:c>
      <x:c r="E80" s="7" t="str">
        <x:v>golang-1.24</x:v>
      </x:c>
      <x:c r="F80" s="7" t="str">
        <x:v>1.24.6</x:v>
      </x:c>
      <x:c r="G80" s="7" t="str">
        <x:v>CWE-770</x:v>
      </x:c>
      <x:c r="H80" s="7" t="str">
        <x:v>CVE-2026-32280</x:v>
      </x:c>
      <x:c r="I80" s="7" t="n">
        <x:v>181</x:v>
      </x:c>
      <x:c r="J80" s="9" t="str">
        <x:v>PENDIENTE</x:v>
      </x:c>
      <x:c r="K80" s="10" t="n">
        <x:v>46371</x:v>
      </x:c>
      <x:c r="L80" s="7" t="str">
        <x:v>Avance 2026-12-15</x:v>
      </x:c>
      <x:c r="M80" s="8" t="str">
        <x:v>Actualizar imagen/base y validar compatibilidad en despliegue.</x:v>
      </x:c>
      <x:c r="N80" s="17"/>
      <x:c r="O80" s="17"/>
    </x:row>
    <x:row r="81" ht="15" hidden="0" customHeight="1">
      <x:c r="A81" s="7" t="str">
        <x:v>SIAJ-0396</x:v>
      </x:c>
      <x:c r="B81" s="7" t="str">
        <x:v>CONTAINER</x:v>
      </x:c>
      <x:c r="C81" s="7" t="str">
        <x:v>HIGH</x:v>
      </x:c>
      <x:c r="D81" s="8" t="str">
        <x:v>Contenedor golang-1.24-1.24.6</x:v>
      </x:c>
      <x:c r="E81" s="7" t="str">
        <x:v>golang-1.24</x:v>
      </x:c>
      <x:c r="F81" s="7" t="str">
        <x:v>1.24.6</x:v>
      </x:c>
      <x:c r="G81" s="7" t="str">
        <x:v>CWE-843</x:v>
      </x:c>
      <x:c r="H81" s="7" t="str">
        <x:v>CVE-2026-27144</x:v>
      </x:c>
      <x:c r="I81" s="7" t="n">
        <x:v>182</x:v>
      </x:c>
      <x:c r="J81" s="9" t="str">
        <x:v>PENDIENTE</x:v>
      </x:c>
      <x:c r="K81" s="10" t="n">
        <x:v>46371</x:v>
      </x:c>
      <x:c r="L81" s="7" t="str">
        <x:v>Avance 2026-12-15</x:v>
      </x:c>
      <x:c r="M81" s="8" t="str">
        <x:v>Actualizar imagen/base y validar compatibilidad en despliegue.</x:v>
      </x:c>
      <x:c r="N81" s="17"/>
      <x:c r="O81" s="17"/>
    </x:row>
    <x:row r="82" ht="15" hidden="0" customHeight="1">
      <x:c r="A82" s="7" t="str">
        <x:v>SIAJ-0397</x:v>
      </x:c>
      <x:c r="B82" s="7" t="str">
        <x:v>CONTAINER</x:v>
      </x:c>
      <x:c r="C82" s="7" t="str">
        <x:v>HIGH</x:v>
      </x:c>
      <x:c r="D82" s="8" t="str">
        <x:v>Contenedor golang-1.24-1.24.6</x:v>
      </x:c>
      <x:c r="E82" s="7" t="str">
        <x:v>golang-1.24</x:v>
      </x:c>
      <x:c r="F82" s="7" t="str">
        <x:v>1.24.6</x:v>
      </x:c>
      <x:c r="G82" s="7" t="str">
        <x:v>CWE-863</x:v>
      </x:c>
      <x:c r="H82" s="7" t="str">
        <x:v>CVE-2026-27140</x:v>
      </x:c>
      <x:c r="I82" s="7" t="n">
        <x:v>182</x:v>
      </x:c>
      <x:c r="J82" s="9" t="str">
        <x:v>PENDIENTE</x:v>
      </x:c>
      <x:c r="K82" s="10" t="n">
        <x:v>46371</x:v>
      </x:c>
      <x:c r="L82" s="7" t="str">
        <x:v>Avance 2026-12-15</x:v>
      </x:c>
      <x:c r="M82" s="8" t="str">
        <x:v>Actualizar imagen/base y validar compatibilidad en despliegue.</x:v>
      </x:c>
      <x:c r="N82" s="17"/>
      <x:c r="O82" s="17"/>
    </x:row>
    <x:row r="83" ht="15" hidden="0" customHeight="1">
      <x:c r="A83" s="7" t="str">
        <x:v>SIAJ-0398</x:v>
      </x:c>
      <x:c r="B83" s="7" t="str">
        <x:v>CONTAINER</x:v>
      </x:c>
      <x:c r="C83" s="7" t="str">
        <x:v>HIGH</x:v>
      </x:c>
      <x:c r="D83" s="8" t="str">
        <x:v>Contenedor golang-1.24-1.24.6</x:v>
      </x:c>
      <x:c r="E83" s="7" t="str">
        <x:v>golang-1.24</x:v>
      </x:c>
      <x:c r="F83" s="7" t="str">
        <x:v>1.24.6</x:v>
      </x:c>
      <x:c r="G83" s="7" t="str">
        <x:v>CWE-347</x:v>
      </x:c>
      <x:c r="H83" s="7" t="str">
        <x:v>CVE-2026-42501</x:v>
      </x:c>
      <x:c r="I83" s="7" t="n">
        <x:v>182</x:v>
      </x:c>
      <x:c r="J83" s="9" t="str">
        <x:v>PENDIENTE</x:v>
      </x:c>
      <x:c r="K83" s="10" t="n">
        <x:v>46371</x:v>
      </x:c>
      <x:c r="L83" s="7" t="str">
        <x:v>Avance 2026-12-15</x:v>
      </x:c>
      <x:c r="M83" s="8" t="str">
        <x:v>Actualizar imagen/base y validar compatibilidad en despliegue.</x:v>
      </x:c>
      <x:c r="N83" s="17"/>
      <x:c r="O83" s="17"/>
    </x:row>
    <x:row r="84" ht="15" hidden="0" customHeight="1">
      <x:c r="A84" s="7" t="str">
        <x:v>SIAJ-0399</x:v>
      </x:c>
      <x:c r="B84" s="7" t="str">
        <x:v>CONTAINER</x:v>
      </x:c>
      <x:c r="C84" s="7" t="str">
        <x:v>HIGH</x:v>
      </x:c>
      <x:c r="D84" s="8" t="str">
        <x:v>Contenedor golang-1.24-1.24.6</x:v>
      </x:c>
      <x:c r="E84" s="7" t="str">
        <x:v>golang-1.24</x:v>
      </x:c>
      <x:c r="F84" s="7" t="str">
        <x:v>1.24.6</x:v>
      </x:c>
      <x:c r="G84" s="7" t="str">
        <x:v>NVD-CWE-noinfo</x:v>
      </x:c>
      <x:c r="H84" s="7" t="str">
        <x:v>CVE-2026-42499</x:v>
      </x:c>
      <x:c r="I84" s="7" t="n">
        <x:v>182</x:v>
      </x:c>
      <x:c r="J84" s="9" t="str">
        <x:v>PENDIENTE</x:v>
      </x:c>
      <x:c r="K84" s="10" t="n">
        <x:v>46371</x:v>
      </x:c>
      <x:c r="L84" s="7" t="str">
        <x:v>Avance 2026-12-15</x:v>
      </x:c>
      <x:c r="M84" s="8" t="str">
        <x:v>Actualizar imagen/base y validar compatibilidad en despliegue.</x:v>
      </x:c>
      <x:c r="N84" s="17"/>
      <x:c r="O84" s="17"/>
    </x:row>
    <x:row r="85" ht="15" hidden="0" customHeight="1">
      <x:c r="A85" s="7" t="str">
        <x:v>SIAJ-0400</x:v>
      </x:c>
      <x:c r="B85" s="7" t="str">
        <x:v>CONTAINER</x:v>
      </x:c>
      <x:c r="C85" s="7" t="str">
        <x:v>HIGH</x:v>
      </x:c>
      <x:c r="D85" s="8" t="str">
        <x:v>Contenedor golang-1.24-1.24.6</x:v>
      </x:c>
      <x:c r="E85" s="7" t="str">
        <x:v>golang-1.24</x:v>
      </x:c>
      <x:c r="F85" s="7" t="str">
        <x:v>1.24.6</x:v>
      </x:c>
      <x:c r="G85" s="7" t="str">
        <x:v>CWE-770</x:v>
      </x:c>
      <x:c r="H85" s="7" t="str">
        <x:v>CVE-2026-39820</x:v>
      </x:c>
      <x:c r="I85" s="7" t="n">
        <x:v>183</x:v>
      </x:c>
      <x:c r="J85" s="9" t="str">
        <x:v>PENDIENTE</x:v>
      </x:c>
      <x:c r="K85" s="10" t="n">
        <x:v>46371</x:v>
      </x:c>
      <x:c r="L85" s="7" t="str">
        <x:v>Avance 2026-12-15</x:v>
      </x:c>
      <x:c r="M85" s="8" t="str">
        <x:v>Actualizar imagen/base y validar compatibilidad en despliegue.</x:v>
      </x:c>
      <x:c r="N85" s="17"/>
      <x:c r="O85" s="17"/>
    </x:row>
    <x:row r="86" ht="15" hidden="0" customHeight="1">
      <x:c r="A86" s="7" t="str">
        <x:v>SIAJ-0401</x:v>
      </x:c>
      <x:c r="B86" s="7" t="str">
        <x:v>CONTAINER</x:v>
      </x:c>
      <x:c r="C86" s="7" t="str">
        <x:v>HIGH</x:v>
      </x:c>
      <x:c r="D86" s="8" t="str">
        <x:v>Contenedor golang-1.24-1.24.6</x:v>
      </x:c>
      <x:c r="E86" s="7" t="str">
        <x:v>golang-1.24</x:v>
      </x:c>
      <x:c r="F86" s="7" t="str">
        <x:v>1.24.6</x:v>
      </x:c>
      <x:c r="G86" s="7" t="str">
        <x:v>CWE-415</x:v>
      </x:c>
      <x:c r="H86" s="7" t="str">
        <x:v>CVE-2026-33811</x:v>
      </x:c>
      <x:c r="I86" s="7" t="n">
        <x:v>183</x:v>
      </x:c>
      <x:c r="J86" s="9" t="str">
        <x:v>PENDIENTE</x:v>
      </x:c>
      <x:c r="K86" s="10" t="n">
        <x:v>46371</x:v>
      </x:c>
      <x:c r="L86" s="7" t="str">
        <x:v>Avance 2026-12-15</x:v>
      </x:c>
      <x:c r="M86" s="8" t="str">
        <x:v>Actualizar imagen/base y validar compatibilidad en despliegue.</x:v>
      </x:c>
      <x:c r="N86" s="17"/>
      <x:c r="O86" s="17"/>
    </x:row>
    <x:row r="87" ht="15" hidden="0" customHeight="1">
      <x:c r="A87" s="7" t="str">
        <x:v>SIAJ-0498</x:v>
      </x:c>
      <x:c r="B87" s="7" t="str">
        <x:v>CONTAINER</x:v>
      </x:c>
      <x:c r="C87" s="7" t="str">
        <x:v>HIGH</x:v>
      </x:c>
      <x:c r="D87" s="8" t="str">
        <x:v>Contenedor krb5-1.21.3-5+deb13u1</x:v>
      </x:c>
      <x:c r="E87" s="7" t="str">
        <x:v>krb5</x:v>
      </x:c>
      <x:c r="F87" s="7" t="str">
        <x:v>1.21.3-5+deb13u1</x:v>
      </x:c>
      <x:c r="G87" s="7" t="str">
        <x:v>CWE-190</x:v>
      </x:c>
      <x:c r="H87" s="7" t="str">
        <x:v>CVE-2018-5709</x:v>
      </x:c>
      <x:c r="I87" s="7" t="n">
        <x:v>209</x:v>
      </x:c>
      <x:c r="J87" s="9" t="str">
        <x:v>PENDIENTE</x:v>
      </x:c>
      <x:c r="K87" s="10" t="n">
        <x:v>46371</x:v>
      </x:c>
      <x:c r="L87" s="7" t="str">
        <x:v>Avance 2026-12-15</x:v>
      </x:c>
      <x:c r="M87" s="8" t="str">
        <x:v>Actualizar imagen/base y validar compatibilidad en despliegue.</x:v>
      </x:c>
      <x:c r="N87" s="17"/>
      <x:c r="O87" s="17"/>
    </x:row>
    <x:row r="88" ht="15" hidden="0" customHeight="1">
      <x:c r="A88" s="7" t="str">
        <x:v>SIAJ-0499</x:v>
      </x:c>
      <x:c r="B88" s="7" t="str">
        <x:v>CONTAINER</x:v>
      </x:c>
      <x:c r="C88" s="7" t="str">
        <x:v>HIGH</x:v>
      </x:c>
      <x:c r="D88" s="8" t="str">
        <x:v>Contenedor krb5-1.21.3-5+deb13u1</x:v>
      </x:c>
      <x:c r="E88" s="7" t="str">
        <x:v>krb5</x:v>
      </x:c>
      <x:c r="F88" s="7" t="str">
        <x:v>1.21.3-5+deb13u1</x:v>
      </x:c>
      <x:c r="G88" s="7" t="str">
        <x:v>CWE-770</x:v>
      </x:c>
      <x:c r="H88" s="7" t="str">
        <x:v>CVE-2024-26461</x:v>
      </x:c>
      <x:c r="I88" s="7" t="n">
        <x:v>209</x:v>
      </x:c>
      <x:c r="J88" s="9" t="str">
        <x:v>PENDIENTE</x:v>
      </x:c>
      <x:c r="K88" s="10" t="n">
        <x:v>46371</x:v>
      </x:c>
      <x:c r="L88" s="7" t="str">
        <x:v>Avance 2026-12-15</x:v>
      </x:c>
      <x:c r="M88" s="8" t="str">
        <x:v>Actualizar imagen/base y validar compatibilidad en despliegue.</x:v>
      </x:c>
      <x:c r="N88" s="17"/>
      <x:c r="O88" s="17"/>
    </x:row>
    <x:row r="89" ht="15" hidden="0" customHeight="1">
      <x:c r="A89" s="7" t="str">
        <x:v>SIAJ-0433</x:v>
      </x:c>
      <x:c r="B89" s="7" t="str">
        <x:v>CONTAINER</x:v>
      </x:c>
      <x:c r="C89" s="7" t="str">
        <x:v>HIGH</x:v>
      </x:c>
      <x:c r="D89" s="8" t="str">
        <x:v>Contenedor libgcrypt20-1.11.0-7+deb13u1</x:v>
      </x:c>
      <x:c r="E89" s="7" t="str">
        <x:v>libgcrypt20</x:v>
      </x:c>
      <x:c r="F89" s="7" t="str">
        <x:v>1.11.0-7+deb13u1</x:v>
      </x:c>
      <x:c r="G89" s="7" t="str">
        <x:v>CWE-327</x:v>
      </x:c>
      <x:c r="H89" s="7" t="str">
        <x:v>CVE-2018-6829</x:v>
      </x:c>
      <x:c r="I89" s="7" t="n">
        <x:v>191</x:v>
      </x:c>
      <x:c r="J89" s="9" t="str">
        <x:v>PENDIENTE</x:v>
      </x:c>
      <x:c r="K89" s="10" t="n">
        <x:v>46402</x:v>
      </x:c>
      <x:c r="L89" s="7" t="str">
        <x:v>Avance 2027-01-15</x:v>
      </x:c>
      <x:c r="M89" s="8" t="str">
        <x:v>Actualizar imagen/base y validar compatibilidad en despliegue.</x:v>
      </x:c>
      <x:c r="N89" s="17"/>
      <x:c r="O89" s="17"/>
    </x:row>
    <x:row r="90" ht="15" hidden="0" customHeight="1">
      <x:c r="A90" s="7" t="str">
        <x:v>SIAJ-0435</x:v>
      </x:c>
      <x:c r="B90" s="7" t="str">
        <x:v>CONTAINER</x:v>
      </x:c>
      <x:c r="C90" s="7" t="str">
        <x:v>HIGH</x:v>
      </x:c>
      <x:c r="D90" s="8" t="str">
        <x:v>Contenedor libtasn1-6-4.20.0-2+deb13u1</x:v>
      </x:c>
      <x:c r="E90" s="7" t="str">
        <x:v>libtasn1-6</x:v>
      </x:c>
      <x:c r="F90" s="7" t="str">
        <x:v>4.20.0-2+deb13u1</x:v>
      </x:c>
      <x:c r="G90" s="7" t="str">
        <x:v>CWE-787</x:v>
      </x:c>
      <x:c r="H90" s="7" t="str">
        <x:v>CVE-2025-13151</x:v>
      </x:c>
      <x:c r="I90" s="7" t="n">
        <x:v>192</x:v>
      </x:c>
      <x:c r="J90" s="9" t="str">
        <x:v>PENDIENTE</x:v>
      </x:c>
      <x:c r="K90" s="10" t="n">
        <x:v>46402</x:v>
      </x:c>
      <x:c r="L90" s="7" t="str">
        <x:v>Avance 2027-01-15</x:v>
      </x:c>
      <x:c r="M90" s="8" t="str">
        <x:v>Actualizar imagen/base y validar compatibilidad en despliegue.</x:v>
      </x:c>
      <x:c r="N90" s="17"/>
      <x:c r="O90" s="17"/>
    </x:row>
    <x:row r="91" ht="39.599998474121094" hidden="0" customHeight="1">
      <x:c r="A91" s="7" t="str">
        <x:v>SIAJ-0436</x:v>
      </x:c>
      <x:c r="B91" s="7" t="str">
        <x:v>CONTAINER</x:v>
      </x:c>
      <x:c r="C91" s="7" t="str">
        <x:v>HIGH</x:v>
      </x:c>
      <x:c r="D91" s="8" t="str">
        <x:v>Contenedor libxml2-2.12.7+dfsg+really2.9.14-2.1+deb13u3</x:v>
      </x:c>
      <x:c r="E91" s="7" t="str">
        <x:v>libxml2</x:v>
      </x:c>
      <x:c r="F91" s="7" t="str">
        <x:v>2.12.7+dfsg+really2.9.14-2.1+deb13u3</x:v>
      </x:c>
      <x:c r="G91" s="7" t="str">
        <x:v>CWE-416</x:v>
      </x:c>
      <x:c r="H91" s="7" t="str">
        <x:v>CVE-2026-6653</x:v>
      </x:c>
      <x:c r="I91" s="7" t="n">
        <x:v>192</x:v>
      </x:c>
      <x:c r="J91" s="9" t="str">
        <x:v>PENDIENTE</x:v>
      </x:c>
      <x:c r="K91" s="10" t="n">
        <x:v>46402</x:v>
      </x:c>
      <x:c r="L91" s="7" t="str">
        <x:v>Avance 2027-01-15</x:v>
      </x:c>
      <x:c r="M91" s="8" t="str">
        <x:v>Actualizar imagen/base y validar compatibilidad en despliegue.</x:v>
      </x:c>
      <x:c r="N91" s="17"/>
      <x:c r="O91" s="17"/>
    </x:row>
    <x:row r="92" ht="39.599998474121094" hidden="0" customHeight="1">
      <x:c r="A92" s="7" t="str">
        <x:v>SIAJ-0437</x:v>
      </x:c>
      <x:c r="B92" s="7" t="str">
        <x:v>CONTAINER</x:v>
      </x:c>
      <x:c r="C92" s="7" t="str">
        <x:v>HIGH</x:v>
      </x:c>
      <x:c r="D92" s="8" t="str">
        <x:v>Contenedor libxml2-2.12.7+dfsg+really2.9.14-2.1+deb13u3</x:v>
      </x:c>
      <x:c r="E92" s="7" t="str">
        <x:v>libxml2</x:v>
      </x:c>
      <x:c r="F92" s="7" t="str">
        <x:v>2.12.7+dfsg+really2.9.14-2.1+deb13u3</x:v>
      </x:c>
      <x:c r="G92" s="7" t="str">
        <x:v>CWE-843</x:v>
      </x:c>
      <x:c r="H92" s="7" t="str">
        <x:v>CVE-2026-6732</x:v>
      </x:c>
      <x:c r="I92" s="7" t="n">
        <x:v>193</x:v>
      </x:c>
      <x:c r="J92" s="9" t="str">
        <x:v>PENDIENTE</x:v>
      </x:c>
      <x:c r="K92" s="10" t="n">
        <x:v>46402</x:v>
      </x:c>
      <x:c r="L92" s="7" t="str">
        <x:v>Avance 2027-01-15</x:v>
      </x:c>
      <x:c r="M92" s="8" t="str">
        <x:v>Actualizar imagen/base y validar compatibilidad en despliegue.</x:v>
      </x:c>
      <x:c r="N92" s="17"/>
      <x:c r="O92" s="17"/>
    </x:row>
    <x:row r="93" ht="15" hidden="0" customHeight="1">
      <x:c r="A93" s="7" t="str">
        <x:v>SIAJ-0480</x:v>
      </x:c>
      <x:c r="B93" s="7" t="str">
        <x:v>CONTAINER</x:v>
      </x:c>
      <x:c r="C93" s="7" t="str">
        <x:v>HIGH</x:v>
      </x:c>
      <x:c r="D93" s="8" t="str">
        <x:v>Contenedor ncurses-6.5+20250216-2</x:v>
      </x:c>
      <x:c r="E93" s="7" t="str">
        <x:v>ncurses</x:v>
      </x:c>
      <x:c r="F93" s="7" t="str">
        <x:v>6.5+20250216-2</x:v>
      </x:c>
      <x:c r="G93" s="7" t="str">
        <x:v>CWE-121</x:v>
      </x:c>
      <x:c r="H93" s="7" t="str">
        <x:v>CVE-2025-69720</x:v>
      </x:c>
      <x:c r="I93" s="7" t="n">
        <x:v>204</x:v>
      </x:c>
      <x:c r="J93" s="9" t="str">
        <x:v>PENDIENTE</x:v>
      </x:c>
      <x:c r="K93" s="10" t="n">
        <x:v>46402</x:v>
      </x:c>
      <x:c r="L93" s="7" t="str">
        <x:v>Avance 2027-01-15</x:v>
      </x:c>
      <x:c r="M93" s="8" t="str">
        <x:v>Actualizar imagen/base y validar compatibilidad en despliegue.</x:v>
      </x:c>
      <x:c r="N93" s="17"/>
      <x:c r="O93" s="17"/>
    </x:row>
    <x:row r="94" ht="15" hidden="0" customHeight="1">
      <x:c r="A94" s="7" t="str">
        <x:v>SIAJ-0502</x:v>
      </x:c>
      <x:c r="B94" s="7" t="str">
        <x:v>CONTAINER</x:v>
      </x:c>
      <x:c r="C94" s="7" t="str">
        <x:v>HIGH</x:v>
      </x:c>
      <x:c r="D94" s="8" t="str">
        <x:v>Contenedor openldap-2.6.10+dfsg-1</x:v>
      </x:c>
      <x:c r="E94" s="7" t="str">
        <x:v>openldap</x:v>
      </x:c>
      <x:c r="F94" s="7" t="str">
        <x:v>2.6.10+dfsg-1</x:v>
      </x:c>
      <x:c r="G94" s="7" t="str">
        <x:v>CWE-119</x:v>
      </x:c>
      <x:c r="H94" s="7" t="str">
        <x:v>CVE-2017-17740</x:v>
      </x:c>
      <x:c r="I94" s="7" t="n">
        <x:v>210</x:v>
      </x:c>
      <x:c r="J94" s="9" t="str">
        <x:v>PENDIENTE</x:v>
      </x:c>
      <x:c r="K94" s="10" t="n">
        <x:v>46402</x:v>
      </x:c>
      <x:c r="L94" s="7" t="str">
        <x:v>Avance 2027-01-15</x:v>
      </x:c>
      <x:c r="M94" s="8" t="str">
        <x:v>Actualizar imagen/base y validar compatibilidad en despliegue.</x:v>
      </x:c>
      <x:c r="N94" s="17"/>
      <x:c r="O94" s="17"/>
    </x:row>
    <x:row r="95" ht="15" hidden="0" customHeight="1">
      <x:c r="A95" s="7" t="str">
        <x:v>SIAJ-0503</x:v>
      </x:c>
      <x:c r="B95" s="7" t="str">
        <x:v>CONTAINER</x:v>
      </x:c>
      <x:c r="C95" s="7" t="str">
        <x:v>HIGH</x:v>
      </x:c>
      <x:c r="D95" s="8" t="str">
        <x:v>Contenedor openldap-2.6.10+dfsg-1</x:v>
      </x:c>
      <x:c r="E95" s="7" t="str">
        <x:v>openldap</x:v>
      </x:c>
      <x:c r="F95" s="7" t="str">
        <x:v>2.6.10+dfsg-1</x:v>
      </x:c>
      <x:c r="G95" s="7" t="str">
        <x:v>NVD-CWE-noinfo</x:v>
      </x:c>
      <x:c r="H95" s="7" t="str">
        <x:v>CVE-2015-3276</x:v>
      </x:c>
      <x:c r="I95" s="7" t="n">
        <x:v>210</x:v>
      </x:c>
      <x:c r="J95" s="9" t="str">
        <x:v>PENDIENTE</x:v>
      </x:c>
      <x:c r="K95" s="10" t="n">
        <x:v>46402</x:v>
      </x:c>
      <x:c r="L95" s="7" t="str">
        <x:v>Avance 2027-01-15</x:v>
      </x:c>
      <x:c r="M95" s="8" t="str">
        <x:v>Actualizar imagen/base y validar compatibilidad en despliegue.</x:v>
      </x:c>
      <x:c r="N95" s="17"/>
      <x:c r="O95" s="17"/>
    </x:row>
    <x:row r="96" ht="15" hidden="0" customHeight="1">
      <x:c r="A96" s="7" t="str">
        <x:v>SIAJ-0439</x:v>
      </x:c>
      <x:c r="B96" s="7" t="str">
        <x:v>CONTAINER</x:v>
      </x:c>
      <x:c r="C96" s="7" t="str">
        <x:v>HIGH</x:v>
      </x:c>
      <x:c r="D96" s="8" t="str">
        <x:v>Contenedor openssl-3.5.6-1~deb13u2</x:v>
      </x:c>
      <x:c r="E96" s="7" t="str">
        <x:v>openssl</x:v>
      </x:c>
      <x:c r="F96" s="7" t="str">
        <x:v>3.5.6-1~deb13u2</x:v>
      </x:c>
      <x:c r="G96" s="7" t="str">
        <x:v>CWE-476</x:v>
      </x:c>
      <x:c r="H96" s="7" t="str">
        <x:v>CVE-2026-42764</x:v>
      </x:c>
      <x:c r="I96" s="7" t="n">
        <x:v>193</x:v>
      </x:c>
      <x:c r="J96" s="9" t="str">
        <x:v>PENDIENTE</x:v>
      </x:c>
      <x:c r="K96" s="10" t="n">
        <x:v>46402</x:v>
      </x:c>
      <x:c r="L96" s="7" t="str">
        <x:v>Avance 2027-01-15</x:v>
      </x:c>
      <x:c r="M96" s="8" t="str">
        <x:v>Actualizar imagen/base y validar compatibilidad en despliegue.</x:v>
      </x:c>
      <x:c r="N96" s="17"/>
      <x:c r="O96" s="17"/>
    </x:row>
    <x:row r="97" ht="15" hidden="0" customHeight="1">
      <x:c r="A97" s="7" t="str">
        <x:v>SIAJ-0440</x:v>
      </x:c>
      <x:c r="B97" s="7" t="str">
        <x:v>CONTAINER</x:v>
      </x:c>
      <x:c r="C97" s="7" t="str">
        <x:v>HIGH</x:v>
      </x:c>
      <x:c r="D97" s="8" t="str">
        <x:v>Contenedor openssl-3.5.6-1~deb13u2</x:v>
      </x:c>
      <x:c r="E97" s="7" t="str">
        <x:v>openssl</x:v>
      </x:c>
      <x:c r="F97" s="7" t="str">
        <x:v>3.5.6-1~deb13u2</x:v>
      </x:c>
      <x:c r="G97" s="7" t="str">
        <x:v>CWE-416</x:v>
      </x:c>
      <x:c r="H97" s="7" t="str">
        <x:v>CVE-2026-45447</x:v>
      </x:c>
      <x:c r="I97" s="7" t="n">
        <x:v>193</x:v>
      </x:c>
      <x:c r="J97" s="9" t="str">
        <x:v>PENDIENTE</x:v>
      </x:c>
      <x:c r="K97" s="10" t="n">
        <x:v>46402</x:v>
      </x:c>
      <x:c r="L97" s="7" t="str">
        <x:v>Avance 2027-01-15</x:v>
      </x:c>
      <x:c r="M97" s="8" t="str">
        <x:v>Actualizar imagen/base y validar compatibilidad en despliegue.</x:v>
      </x:c>
      <x:c r="N97" s="17"/>
      <x:c r="O97" s="17"/>
    </x:row>
    <x:row r="98" ht="15" hidden="0" customHeight="1">
      <x:c r="A98" s="7" t="str">
        <x:v>SIAJ-0441</x:v>
      </x:c>
      <x:c r="B98" s="7" t="str">
        <x:v>CONTAINER</x:v>
      </x:c>
      <x:c r="C98" s="7" t="str">
        <x:v>HIGH</x:v>
      </x:c>
      <x:c r="D98" s="8" t="str">
        <x:v>Contenedor openssl-3.5.6-1~deb13u2</x:v>
      </x:c>
      <x:c r="E98" s="7" t="str">
        <x:v>openssl</x:v>
      </x:c>
      <x:c r="F98" s="7" t="str">
        <x:v>3.5.6-1~deb13u2</x:v>
      </x:c>
      <x:c r="G98" s="7" t="str">
        <x:v>CWE-125</x:v>
      </x:c>
      <x:c r="H98" s="7" t="str">
        <x:v>CVE-2026-9076</x:v>
      </x:c>
      <x:c r="I98" s="7" t="n">
        <x:v>194</x:v>
      </x:c>
      <x:c r="J98" s="9" t="str">
        <x:v>PENDIENTE</x:v>
      </x:c>
      <x:c r="K98" s="10" t="n">
        <x:v>46402</x:v>
      </x:c>
      <x:c r="L98" s="7" t="str">
        <x:v>Avance 2027-01-15</x:v>
      </x:c>
      <x:c r="M98" s="8" t="str">
        <x:v>Actualizar imagen/base y validar compatibilidad en despliegue.</x:v>
      </x:c>
      <x:c r="N98" s="17"/>
      <x:c r="O98" s="17"/>
    </x:row>
    <x:row r="99" ht="15" hidden="0" customHeight="1">
      <x:c r="A99" s="7" t="str">
        <x:v>SIAJ-0442</x:v>
      </x:c>
      <x:c r="B99" s="7" t="str">
        <x:v>CONTAINER</x:v>
      </x:c>
      <x:c r="C99" s="7" t="str">
        <x:v>HIGH</x:v>
      </x:c>
      <x:c r="D99" s="8" t="str">
        <x:v>Contenedor openssl-3.5.6-1~deb13u2</x:v>
      </x:c>
      <x:c r="E99" s="7" t="str">
        <x:v>openssl</x:v>
      </x:c>
      <x:c r="F99" s="7" t="str">
        <x:v>3.5.6-1~deb13u2</x:v>
      </x:c>
      <x:c r="G99" s="7" t="str">
        <x:v>CWE-787</x:v>
      </x:c>
      <x:c r="H99" s="7" t="str">
        <x:v>CVE-2026-7383</x:v>
      </x:c>
      <x:c r="I99" s="7" t="n">
        <x:v>194</x:v>
      </x:c>
      <x:c r="J99" s="9" t="str">
        <x:v>PENDIENTE</x:v>
      </x:c>
      <x:c r="K99" s="10" t="n">
        <x:v>46402</x:v>
      </x:c>
      <x:c r="L99" s="7" t="str">
        <x:v>Avance 2027-01-15</x:v>
      </x:c>
      <x:c r="M99" s="8" t="str">
        <x:v>Actualizar imagen/base y validar compatibilidad en despliegue.</x:v>
      </x:c>
      <x:c r="N99" s="17"/>
      <x:c r="O99" s="17"/>
    </x:row>
    <x:row r="100" ht="15" hidden="0" customHeight="1">
      <x:c r="A100" s="7" t="str">
        <x:v>SIAJ-0443</x:v>
      </x:c>
      <x:c r="B100" s="7" t="str">
        <x:v>CONTAINER</x:v>
      </x:c>
      <x:c r="C100" s="7" t="str">
        <x:v>HIGH</x:v>
      </x:c>
      <x:c r="D100" s="8" t="str">
        <x:v>Contenedor openssl-3.5.6-1~deb13u2</x:v>
      </x:c>
      <x:c r="E100" s="7" t="str">
        <x:v>openssl</x:v>
      </x:c>
      <x:c r="F100" s="7" t="str">
        <x:v>3.5.6-1~deb13u2</x:v>
      </x:c>
      <x:c r="G100" s="7" t="str">
        <x:v>CWE-325</x:v>
      </x:c>
      <x:c r="H100" s="7" t="str">
        <x:v>CVE-2026-45445</x:v>
      </x:c>
      <x:c r="I100" s="7" t="n">
        <x:v>194</x:v>
      </x:c>
      <x:c r="J100" s="9" t="str">
        <x:v>PENDIENTE</x:v>
      </x:c>
      <x:c r="K100" s="10" t="n">
        <x:v>46402</x:v>
      </x:c>
      <x:c r="L100" s="7" t="str">
        <x:v>Avance 2027-01-15</x:v>
      </x:c>
      <x:c r="M100" s="8" t="str">
        <x:v>Actualizar imagen/base y validar compatibilidad en despliegue.</x:v>
      </x:c>
      <x:c r="N100" s="17"/>
      <x:c r="O100" s="17"/>
    </x:row>
    <x:row r="101" ht="15" hidden="0" customHeight="1">
      <x:c r="A101" s="7" t="str">
        <x:v>SIAJ-0444</x:v>
      </x:c>
      <x:c r="B101" s="7" t="str">
        <x:v>CONTAINER</x:v>
      </x:c>
      <x:c r="C101" s="7" t="str">
        <x:v>HIGH</x:v>
      </x:c>
      <x:c r="D101" s="8" t="str">
        <x:v>Contenedor openssl-3.5.6-1~deb13u2</x:v>
      </x:c>
      <x:c r="E101" s="7" t="str">
        <x:v>openssl</x:v>
      </x:c>
      <x:c r="F101" s="7" t="str">
        <x:v>3.5.6-1~deb13u2</x:v>
      </x:c>
      <x:c r="G101" s="7" t="str">
        <x:v>CWE-1325</x:v>
      </x:c>
      <x:c r="H101" s="7" t="str">
        <x:v>CVE-2026-34183</x:v>
      </x:c>
      <x:c r="I101" s="7" t="n">
        <x:v>194</x:v>
      </x:c>
      <x:c r="J101" s="9" t="str">
        <x:v>PENDIENTE</x:v>
      </x:c>
      <x:c r="K101" s="10" t="n">
        <x:v>46402</x:v>
      </x:c>
      <x:c r="L101" s="7" t="str">
        <x:v>Avance 2027-01-15</x:v>
      </x:c>
      <x:c r="M101" s="8" t="str">
        <x:v>Actualizar imagen/base y validar compatibilidad en despliegue.</x:v>
      </x:c>
      <x:c r="N101" s="17"/>
      <x:c r="O101" s="17"/>
    </x:row>
    <x:row r="102" ht="15" hidden="0" customHeight="1">
      <x:c r="A102" s="7" t="str">
        <x:v>SIAJ-0445</x:v>
      </x:c>
      <x:c r="B102" s="7" t="str">
        <x:v>CONTAINER</x:v>
      </x:c>
      <x:c r="C102" s="7" t="str">
        <x:v>HIGH</x:v>
      </x:c>
      <x:c r="D102" s="8" t="str">
        <x:v>Contenedor openssl-3.5.6-1~deb13u2</x:v>
      </x:c>
      <x:c r="E102" s="7" t="str">
        <x:v>openssl</x:v>
      </x:c>
      <x:c r="F102" s="7" t="str">
        <x:v>3.5.6-1~deb13u2</x:v>
      </x:c>
      <x:c r="G102" s="7" t="str">
        <x:v>CWE-354</x:v>
      </x:c>
      <x:c r="H102" s="7" t="str">
        <x:v>CVE-2026-34181</x:v>
      </x:c>
      <x:c r="I102" s="7" t="n">
        <x:v>195</x:v>
      </x:c>
      <x:c r="J102" s="9" t="str">
        <x:v>PENDIENTE</x:v>
      </x:c>
      <x:c r="K102" s="10" t="n">
        <x:v>46402</x:v>
      </x:c>
      <x:c r="L102" s="7" t="str">
        <x:v>Avance 2027-01-15</x:v>
      </x:c>
      <x:c r="M102" s="8" t="str">
        <x:v>Actualizar imagen/base y validar compatibilidad en despliegue.</x:v>
      </x:c>
      <x:c r="N102" s="17"/>
      <x:c r="O102" s="17"/>
    </x:row>
    <x:row r="103" ht="15" hidden="0" customHeight="1">
      <x:c r="A103" s="7" t="str">
        <x:v>SIAJ-0446</x:v>
      </x:c>
      <x:c r="B103" s="7" t="str">
        <x:v>CONTAINER</x:v>
      </x:c>
      <x:c r="C103" s="7" t="str">
        <x:v>HIGH</x:v>
      </x:c>
      <x:c r="D103" s="8" t="str">
        <x:v>Contenedor openssl-3.5.6-1~deb13u2</x:v>
      </x:c>
      <x:c r="E103" s="7" t="str">
        <x:v>openssl</x:v>
      </x:c>
      <x:c r="F103" s="7" t="str">
        <x:v>3.5.6-1~deb13u2</x:v>
      </x:c>
      <x:c r="G103" s="7" t="str">
        <x:v>CWE-125</x:v>
      </x:c>
      <x:c r="H103" s="7" t="str">
        <x:v>CVE-2026-34180</x:v>
      </x:c>
      <x:c r="I103" s="7" t="n">
        <x:v>195</x:v>
      </x:c>
      <x:c r="J103" s="9" t="str">
        <x:v>PENDIENTE</x:v>
      </x:c>
      <x:c r="K103" s="10" t="n">
        <x:v>46402</x:v>
      </x:c>
      <x:c r="L103" s="7" t="str">
        <x:v>Avance 2027-01-15</x:v>
      </x:c>
      <x:c r="M103" s="8" t="str">
        <x:v>Actualizar imagen/base y validar compatibilidad en despliegue.</x:v>
      </x:c>
      <x:c r="N103" s="17"/>
      <x:c r="O103" s="17"/>
    </x:row>
    <x:row r="104" ht="15" hidden="0" customHeight="1">
      <x:c r="A104" s="7" t="str">
        <x:v>SIAJ-0456</x:v>
      </x:c>
      <x:c r="B104" s="7" t="str">
        <x:v>CONTAINER</x:v>
      </x:c>
      <x:c r="C104" s="7" t="str">
        <x:v>HIGH</x:v>
      </x:c>
      <x:c r="D104" s="8" t="str">
        <x:v>Contenedor perl-5.40.1-6</x:v>
      </x:c>
      <x:c r="E104" s="7" t="str">
        <x:v>perl</x:v>
      </x:c>
      <x:c r="F104" s="7" t="str">
        <x:v>5.40.1-6</x:v>
      </x:c>
      <x:c r="G104" s="7" t="str">
        <x:v>CWE-522</x:v>
      </x:c>
      <x:c r="H104" s="7" t="str">
        <x:v>CVE-2026-7017</x:v>
      </x:c>
      <x:c r="I104" s="7" t="n">
        <x:v>198</x:v>
      </x:c>
      <x:c r="J104" s="9" t="str">
        <x:v>PENDIENTE</x:v>
      </x:c>
      <x:c r="K104" s="10" t="n">
        <x:v>46402</x:v>
      </x:c>
      <x:c r="L104" s="7" t="str">
        <x:v>Avance 2027-01-15</x:v>
      </x:c>
      <x:c r="M104" s="8" t="str">
        <x:v>Actualizar imagen/base y validar compatibilidad en despliegue.</x:v>
      </x:c>
      <x:c r="N104" s="17"/>
      <x:c r="O104" s="17"/>
    </x:row>
    <x:row r="105" ht="15" hidden="0" customHeight="1">
      <x:c r="A105" s="7" t="str">
        <x:v>SIAJ-0457</x:v>
      </x:c>
      <x:c r="B105" s="7" t="str">
        <x:v>CONTAINER</x:v>
      </x:c>
      <x:c r="C105" s="7" t="str">
        <x:v>HIGH</x:v>
      </x:c>
      <x:c r="D105" s="8" t="str">
        <x:v>Contenedor perl-5.40.1-6</x:v>
      </x:c>
      <x:c r="E105" s="7" t="str">
        <x:v>perl</x:v>
      </x:c>
      <x:c r="F105" s="7" t="str">
        <x:v>5.40.1-6</x:v>
      </x:c>
      <x:c r="G105" s="7" t="str">
        <x:v>CWE-125</x:v>
      </x:c>
      <x:c r="H105" s="7" t="str">
        <x:v>CVE-2026-57432</x:v>
      </x:c>
      <x:c r="I105" s="7" t="n">
        <x:v>198</x:v>
      </x:c>
      <x:c r="J105" s="9" t="str">
        <x:v>PENDIENTE</x:v>
      </x:c>
      <x:c r="K105" s="10" t="n">
        <x:v>46402</x:v>
      </x:c>
      <x:c r="L105" s="7" t="str">
        <x:v>Avance 2027-01-15</x:v>
      </x:c>
      <x:c r="M105" s="8" t="str">
        <x:v>Actualizar imagen/base y validar compatibilidad en despliegue.</x:v>
      </x:c>
      <x:c r="N105" s="17"/>
      <x:c r="O105" s="17"/>
    </x:row>
    <x:row r="106" ht="15" hidden="0" customHeight="1">
      <x:c r="A106" s="7" t="str">
        <x:v>SIAJ-0458</x:v>
      </x:c>
      <x:c r="B106" s="7" t="str">
        <x:v>CONTAINER</x:v>
      </x:c>
      <x:c r="C106" s="7" t="str">
        <x:v>HIGH</x:v>
      </x:c>
      <x:c r="D106" s="8" t="str">
        <x:v>Contenedor perl-5.40.1-6</x:v>
      </x:c>
      <x:c r="E106" s="7" t="str">
        <x:v>perl</x:v>
      </x:c>
      <x:c r="F106" s="7" t="str">
        <x:v>5.40.1-6</x:v>
      </x:c>
      <x:c r="G106" s="7" t="str">
        <x:v>CWE-407</x:v>
      </x:c>
      <x:c r="H106" s="7" t="str">
        <x:v>CVE-2026-48959</x:v>
      </x:c>
      <x:c r="I106" s="7" t="n">
        <x:v>198</x:v>
      </x:c>
      <x:c r="J106" s="9" t="str">
        <x:v>PENDIENTE</x:v>
      </x:c>
      <x:c r="K106" s="10" t="n">
        <x:v>46402</x:v>
      </x:c>
      <x:c r="L106" s="7" t="str">
        <x:v>Avance 2027-01-15</x:v>
      </x:c>
      <x:c r="M106" s="8" t="str">
        <x:v>Actualizar imagen/base y validar compatibilidad en despliegue.</x:v>
      </x:c>
      <x:c r="N106" s="17"/>
      <x:c r="O106" s="17"/>
    </x:row>
    <x:row r="107" ht="15" hidden="0" customHeight="1">
      <x:c r="A107" s="7" t="str">
        <x:v>SIAJ-0459</x:v>
      </x:c>
      <x:c r="B107" s="7" t="str">
        <x:v>CONTAINER</x:v>
      </x:c>
      <x:c r="C107" s="7" t="str">
        <x:v>HIGH</x:v>
      </x:c>
      <x:c r="D107" s="8" t="str">
        <x:v>Contenedor perl-5.40.1-6</x:v>
      </x:c>
      <x:c r="E107" s="7" t="str">
        <x:v>perl</x:v>
      </x:c>
      <x:c r="F107" s="7" t="str">
        <x:v>5.40.1-6</x:v>
      </x:c>
      <x:c r="G107" s="7" t="str">
        <x:v>CWE-95</x:v>
      </x:c>
      <x:c r="H107" s="7" t="str">
        <x:v>CVE-2026-48962</x:v>
      </x:c>
      <x:c r="I107" s="7" t="n">
        <x:v>198</x:v>
      </x:c>
      <x:c r="J107" s="9" t="str">
        <x:v>PENDIENTE</x:v>
      </x:c>
      <x:c r="K107" s="10" t="n">
        <x:v>46433</x:v>
      </x:c>
      <x:c r="L107" s="7" t="str">
        <x:v>Avance 2027-02-15</x:v>
      </x:c>
      <x:c r="M107" s="8" t="str">
        <x:v>Actualizar imagen/base y validar compatibilidad en despliegue.</x:v>
      </x:c>
      <x:c r="N107" s="17"/>
      <x:c r="O107" s="17"/>
    </x:row>
    <x:row r="108" ht="15" hidden="0" customHeight="1">
      <x:c r="A108" s="7" t="str">
        <x:v>SIAJ-0460</x:v>
      </x:c>
      <x:c r="B108" s="7" t="str">
        <x:v>CONTAINER</x:v>
      </x:c>
      <x:c r="C108" s="7" t="str">
        <x:v>HIGH</x:v>
      </x:c>
      <x:c r="D108" s="8" t="str">
        <x:v>Contenedor perl-5.40.1-6</x:v>
      </x:c>
      <x:c r="E108" s="7" t="str">
        <x:v>perl</x:v>
      </x:c>
      <x:c r="F108" s="7" t="str">
        <x:v>5.40.1-6</x:v>
      </x:c>
      <x:c r="G108" s="7" t="str">
        <x:v>CWE-755</x:v>
      </x:c>
      <x:c r="H108" s="7" t="str">
        <x:v>CVE-2026-48961</x:v>
      </x:c>
      <x:c r="I108" s="7" t="n">
        <x:v>199</x:v>
      </x:c>
      <x:c r="J108" s="9" t="str">
        <x:v>PENDIENTE</x:v>
      </x:c>
      <x:c r="K108" s="10" t="n">
        <x:v>46433</x:v>
      </x:c>
      <x:c r="L108" s="7" t="str">
        <x:v>Avance 2027-02-15</x:v>
      </x:c>
      <x:c r="M108" s="8" t="str">
        <x:v>Actualizar imagen/base y validar compatibilidad en despliegue.</x:v>
      </x:c>
      <x:c r="N108" s="17"/>
      <x:c r="O108" s="17"/>
    </x:row>
    <x:row r="109" ht="15" hidden="0" customHeight="1">
      <x:c r="A109" s="7" t="str">
        <x:v>SIAJ-0461</x:v>
      </x:c>
      <x:c r="B109" s="7" t="str">
        <x:v>CONTAINER</x:v>
      </x:c>
      <x:c r="C109" s="7" t="str">
        <x:v>HIGH</x:v>
      </x:c>
      <x:c r="D109" s="8" t="str">
        <x:v>Contenedor perl-5.40.1-6</x:v>
      </x:c>
      <x:c r="E109" s="7" t="str">
        <x:v>perl</x:v>
      </x:c>
      <x:c r="F109" s="7" t="str">
        <x:v>5.40.1-6</x:v>
      </x:c>
      <x:c r="G109" s="7" t="str">
        <x:v>CWE-59</x:v>
      </x:c>
      <x:c r="H109" s="7" t="str">
        <x:v>CVE-2026-42497</x:v>
      </x:c>
      <x:c r="I109" s="7" t="n">
        <x:v>199</x:v>
      </x:c>
      <x:c r="J109" s="9" t="str">
        <x:v>PENDIENTE</x:v>
      </x:c>
      <x:c r="K109" s="10" t="n">
        <x:v>46433</x:v>
      </x:c>
      <x:c r="L109" s="7" t="str">
        <x:v>Avance 2027-02-15</x:v>
      </x:c>
      <x:c r="M109" s="8" t="str">
        <x:v>Actualizar imagen/base y validar compatibilidad en despliegue.</x:v>
      </x:c>
      <x:c r="N109" s="17"/>
      <x:c r="O109" s="17"/>
    </x:row>
    <x:row r="110" ht="15" hidden="0" customHeight="1">
      <x:c r="A110" s="7" t="str">
        <x:v>SIAJ-0462</x:v>
      </x:c>
      <x:c r="B110" s="7" t="str">
        <x:v>CONTAINER</x:v>
      </x:c>
      <x:c r="C110" s="7" t="str">
        <x:v>HIGH</x:v>
      </x:c>
      <x:c r="D110" s="8" t="str">
        <x:v>Contenedor perl-5.40.1-6</x:v>
      </x:c>
      <x:c r="E110" s="7" t="str">
        <x:v>perl</x:v>
      </x:c>
      <x:c r="F110" s="7" t="str">
        <x:v>5.40.1-6</x:v>
      </x:c>
      <x:c r="G110" s="7" t="str">
        <x:v>CWE-789</x:v>
      </x:c>
      <x:c r="H110" s="7" t="str">
        <x:v>CVE-2026-9538</x:v>
      </x:c>
      <x:c r="I110" s="7" t="n">
        <x:v>199</x:v>
      </x:c>
      <x:c r="J110" s="9" t="str">
        <x:v>PENDIENTE</x:v>
      </x:c>
      <x:c r="K110" s="10" t="n">
        <x:v>46433</x:v>
      </x:c>
      <x:c r="L110" s="7" t="str">
        <x:v>Avance 2027-02-15</x:v>
      </x:c>
      <x:c r="M110" s="8" t="str">
        <x:v>Actualizar imagen/base y validar compatibilidad en despliegue.</x:v>
      </x:c>
      <x:c r="N110" s="17"/>
      <x:c r="O110" s="17"/>
    </x:row>
    <x:row r="111" ht="15" hidden="0" customHeight="1">
      <x:c r="A111" s="7" t="str">
        <x:v>SIAJ-0483</x:v>
      </x:c>
      <x:c r="B111" s="7" t="str">
        <x:v>CONTAINER</x:v>
      </x:c>
      <x:c r="C111" s="7" t="str">
        <x:v>HIGH</x:v>
      </x:c>
      <x:c r="D111" s="8" t="str">
        <x:v>Contenedor sqlite3-3.46.1-7+deb13u1</x:v>
      </x:c>
      <x:c r="E111" s="7" t="str">
        <x:v>sqlite3</x:v>
      </x:c>
      <x:c r="F111" s="7" t="str">
        <x:v>3.46.1-7+deb13u1</x:v>
      </x:c>
      <x:c r="G111" s="7" t="str">
        <x:v>CWE-122</x:v>
      </x:c>
      <x:c r="H111" s="7" t="str">
        <x:v>CVE-2026-11824</x:v>
      </x:c>
      <x:c r="I111" s="7" t="n">
        <x:v>205</x:v>
      </x:c>
      <x:c r="J111" s="9" t="str">
        <x:v>PENDIENTE</x:v>
      </x:c>
      <x:c r="K111" s="10" t="n">
        <x:v>46433</x:v>
      </x:c>
      <x:c r="L111" s="7" t="str">
        <x:v>Avance 2027-02-15</x:v>
      </x:c>
      <x:c r="M111" s="8" t="str">
        <x:v>Actualizar imagen/base y validar compatibilidad en despliegue.</x:v>
      </x:c>
      <x:c r="N111" s="17"/>
      <x:c r="O111" s="17"/>
    </x:row>
    <x:row r="112" ht="15" hidden="0" customHeight="1">
      <x:c r="A112" s="7" t="str">
        <x:v>SIAJ-0484</x:v>
      </x:c>
      <x:c r="B112" s="7" t="str">
        <x:v>CONTAINER</x:v>
      </x:c>
      <x:c r="C112" s="7" t="str">
        <x:v>HIGH</x:v>
      </x:c>
      <x:c r="D112" s="8" t="str">
        <x:v>Contenedor sqlite3-3.46.1-7+deb13u1</x:v>
      </x:c>
      <x:c r="E112" s="7" t="str">
        <x:v>sqlite3</x:v>
      </x:c>
      <x:c r="F112" s="7" t="str">
        <x:v>3.46.1-7+deb13u1</x:v>
      </x:c>
      <x:c r="G112" s="7" t="str">
        <x:v>CWE-122</x:v>
      </x:c>
      <x:c r="H112" s="7" t="str">
        <x:v>CVE-2026-11822</x:v>
      </x:c>
      <x:c r="I112" s="7" t="n">
        <x:v>205</x:v>
      </x:c>
      <x:c r="J112" s="9" t="str">
        <x:v>PENDIENTE</x:v>
      </x:c>
      <x:c r="K112" s="10" t="n">
        <x:v>46433</x:v>
      </x:c>
      <x:c r="L112" s="7" t="str">
        <x:v>Avance 2027-02-15</x:v>
      </x:c>
      <x:c r="M112" s="8" t="str">
        <x:v>Actualizar imagen/base y validar compatibilidad en despliegue.</x:v>
      </x:c>
      <x:c r="N112" s="17"/>
      <x:c r="O112" s="17"/>
    </x:row>
    <x:row r="113" ht="15" hidden="0" customHeight="1">
      <x:c r="A113" s="7" t="str">
        <x:v>SIAJ-0485</x:v>
      </x:c>
      <x:c r="B113" s="7" t="str">
        <x:v>CONTAINER</x:v>
      </x:c>
      <x:c r="C113" s="7" t="str">
        <x:v>HIGH</x:v>
      </x:c>
      <x:c r="D113" s="8" t="str">
        <x:v>Contenedor sqlite3-3.46.1-7+deb13u1</x:v>
      </x:c>
      <x:c r="E113" s="7" t="str">
        <x:v>sqlite3</x:v>
      </x:c>
      <x:c r="F113" s="7" t="str">
        <x:v>3.46.1-7+deb13u1</x:v>
      </x:c>
      <x:c r="G113" s="7" t="str">
        <x:v>CWE-244</x:v>
      </x:c>
      <x:c r="H113" s="7" t="str">
        <x:v>CVE-2025-70873</x:v>
      </x:c>
      <x:c r="I113" s="7" t="n">
        <x:v>205</x:v>
      </x:c>
      <x:c r="J113" s="9" t="str">
        <x:v>PENDIENTE</x:v>
      </x:c>
      <x:c r="K113" s="10" t="n">
        <x:v>46433</x:v>
      </x:c>
      <x:c r="L113" s="7" t="str">
        <x:v>Avance 2027-02-15</x:v>
      </x:c>
      <x:c r="M113" s="8" t="str">
        <x:v>Actualizar imagen/base y validar compatibilidad en despliegue.</x:v>
      </x:c>
      <x:c r="N113" s="17"/>
      <x:c r="O113" s="17"/>
    </x:row>
    <x:row r="114" ht="39.599998474121094" hidden="0" customHeight="1">
      <x:c r="A114" s="7" t="str">
        <x:v>SIAJ-0217</x:v>
      </x:c>
      <x:c r="B114" s="7" t="str">
        <x:v>SCA</x:v>
      </x:c>
      <x:c r="C114" s="7" t="str">
        <x:v>HIGH</x:v>
      </x:c>
      <x:c r="D114" s="8" t="str">
        <x:v>Dependencia @modelcontextprotocol/sdk-1.0.1</x:v>
      </x:c>
      <x:c r="E114" s="7" t="str">
        <x:v>@modelcontextprotocol/sdk</x:v>
      </x:c>
      <x:c r="F114" s="7" t="str">
        <x:v>1.0.1</x:v>
      </x:c>
      <x:c r="G114" s="7" t="str">
        <x:v>CWE-1333</x:v>
      </x:c>
      <x:c r="H114" s="7" t="str">
        <x:v>CVE-2026-0621</x:v>
      </x:c>
      <x:c r="I114" s="7" t="n">
        <x:v>116</x:v>
      </x:c>
      <x:c r="J114" s="9" t="str">
        <x:v>PENDIENTE</x:v>
      </x:c>
      <x:c r="K114" s="10" t="n">
        <x:v>46433</x:v>
      </x:c>
      <x:c r="L114" s="7" t="str">
        <x:v>Avance 2027-02-15</x:v>
      </x:c>
      <x:c r="M114" s="8" t="str">
        <x:v>Anthropic's MCP TypeScript SDK versions through 1.25.1 contain a Regular Expression De nial-of-Service (ReDoS) vulnerability in the "UriTemplate" class when processing RFC 6570 exp</x:v>
      </x:c>
      <x:c r="N114" s="17"/>
      <x:c r="O114" s="17"/>
    </x:row>
    <x:row r="115" ht="39.599998474121094" hidden="0" customHeight="1">
      <x:c r="A115" s="7" t="str">
        <x:v>SIAJ-0218</x:v>
      </x:c>
      <x:c r="B115" s="7" t="str">
        <x:v>SCA</x:v>
      </x:c>
      <x:c r="C115" s="7" t="str">
        <x:v>HIGH</x:v>
      </x:c>
      <x:c r="D115" s="8" t="str">
        <x:v>Dependencia @modelcontextprotocol/sdk-1.0.1</x:v>
      </x:c>
      <x:c r="E115" s="7" t="str">
        <x:v>@modelcontextprotocol/sdk</x:v>
      </x:c>
      <x:c r="F115" s="7" t="str">
        <x:v>1.0.1</x:v>
      </x:c>
      <x:c r="G115" s="7" t="str">
        <x:v>CWE-1188</x:v>
      </x:c>
      <x:c r="H115" s="7" t="str">
        <x:v>CVE-2025-66414</x:v>
      </x:c>
      <x:c r="I115" s="7" t="n">
        <x:v>117</x:v>
      </x:c>
      <x:c r="J115" s="9" t="str">
        <x:v>PENDIENTE</x:v>
      </x:c>
      <x:c r="K115" s="10" t="n">
        <x:v>46433</x:v>
      </x:c>
      <x:c r="L115" s="7" t="str">
        <x:v>Avance 2027-02-15</x:v>
      </x:c>
      <x:c r="M115" s="8" t="str">
        <x:v>MCP TypeScript SDK is the official TypeScript SDK for Model Context Protocol servers an d clients. Prior to 1.24.0, The Model Context Protocol (MCP) TypeScript SDK does not enable</x:v>
      </x:c>
      <x:c r="N115" s="17"/>
      <x:c r="O115" s="17"/>
    </x:row>
    <x:row r="116" ht="39.599998474121094" hidden="0" customHeight="1">
      <x:c r="A116" s="7" t="str">
        <x:v>SIAJ-0280</x:v>
      </x:c>
      <x:c r="B116" s="7" t="str">
        <x:v>SCA</x:v>
      </x:c>
      <x:c r="C116" s="7" t="str">
        <x:v>HIGH</x:v>
      </x:c>
      <x:c r="D116" s="8" t="str">
        <x:v>Dependencia brace-expansion-1.1.12</x:v>
      </x:c>
      <x:c r="E116" s="7" t="str">
        <x:v>brace-expansion</x:v>
      </x:c>
      <x:c r="F116" s="7" t="str">
        <x:v>1.1.12</x:v>
      </x:c>
      <x:c r="G116" s="7" t="str">
        <x:v>CWE-400</x:v>
      </x:c>
      <x:c r="H116" s="7" t="str">
        <x:v>CVE-2026-33750</x:v>
      </x:c>
      <x:c r="I116" s="7" t="n">
        <x:v>139</x:v>
      </x:c>
      <x:c r="J116" s="9" t="str">
        <x:v>PENDIENTE</x:v>
      </x:c>
      <x:c r="K116" s="10" t="n">
        <x:v>46433</x:v>
      </x:c>
      <x:c r="L116" s="7" t="str">
        <x:v>Avance 2027-02-15</x:v>
      </x:c>
      <x:c r="M116" s="8" t="str">
        <x:v>The brace-expansion library generates arbitrary strings containing a common prefix and suffix. In versions prior to 1.1.13, 2.0.0 prior to 2.0.3, 3.0.0 prior to 3.0.2 and 4.0.0 pri</x:v>
      </x:c>
      <x:c r="N116" s="17"/>
      <x:c r="O116" s="17"/>
    </x:row>
    <x:row r="117" ht="39.599998474121094" hidden="0" customHeight="1">
      <x:c r="A117" s="7" t="str">
        <x:v>SIAJ-0281</x:v>
      </x:c>
      <x:c r="B117" s="7" t="str">
        <x:v>SCA</x:v>
      </x:c>
      <x:c r="C117" s="7" t="str">
        <x:v>HIGH</x:v>
      </x:c>
      <x:c r="D117" s="8" t="str">
        <x:v>Dependencia brace-expansion-1.1.12</x:v>
      </x:c>
      <x:c r="E117" s="7" t="str">
        <x:v>brace-expansion</x:v>
      </x:c>
      <x:c r="F117" s="7" t="str">
        <x:v>1.1.12</x:v>
      </x:c>
      <x:c r="G117" s="7" t="str">
        <x:v>CWE-400</x:v>
      </x:c>
      <x:c r="H117" s="7" t="str">
        <x:v>CVE-2026-14257</x:v>
      </x:c>
      <x:c r="I117" s="7" t="n">
        <x:v>139</x:v>
      </x:c>
      <x:c r="J117" s="9" t="str">
        <x:v>PENDIENTE</x:v>
      </x:c>
      <x:c r="K117" s="10" t="n">
        <x:v>46433</x:v>
      </x:c>
      <x:c r="L117" s="7" t="str">
        <x:v>Avance 2027-02-15</x:v>
      </x:c>
      <x:c r="M117" s="8" t="str">
        <x:v>brace-expansion through 5.0.7 is vulnerable to denial of service via memory exhaustion. The expand() function limits the number of results with a max option (default 100,000) but d</x:v>
      </x:c>
      <x:c r="N117" s="17"/>
      <x:c r="O117" s="17"/>
    </x:row>
    <x:row r="118" ht="39.599998474121094" hidden="0" customHeight="1">
      <x:c r="A118" s="7" t="str">
        <x:v>SIAJ-0282</x:v>
      </x:c>
      <x:c r="B118" s="7" t="str">
        <x:v>SCA</x:v>
      </x:c>
      <x:c r="C118" s="7" t="str">
        <x:v>HIGH</x:v>
      </x:c>
      <x:c r="D118" s="8" t="str">
        <x:v>Dependencia brace-expansion-1.1.12</x:v>
      </x:c>
      <x:c r="E118" s="7" t="str">
        <x:v>brace-expansion</x:v>
      </x:c>
      <x:c r="F118" s="7" t="str">
        <x:v>1.1.12</x:v>
      </x:c>
      <x:c r="G118" s="7" t="str">
        <x:v>CWE-400</x:v>
      </x:c>
      <x:c r="H118" s="7" t="str">
        <x:v>CVE-2026-13149</x:v>
      </x:c>
      <x:c r="I118" s="7" t="n">
        <x:v>140</x:v>
      </x:c>
      <x:c r="J118" s="9" t="str">
        <x:v>PENDIENTE</x:v>
      </x:c>
      <x:c r="K118" s="10" t="n">
        <x:v>46433</x:v>
      </x:c>
      <x:c r="L118" s="7" t="str">
        <x:v>Avance 2027-02-15</x:v>
      </x:c>
      <x:c r="M118" s="8" t="str">
        <x:v>brace-expansion through 5.0.6 is vulnerable to denial of service. The expand() function e xhibits exponential-time complexity in the number of consecutive non-expanding '{}' brace</x:v>
      </x:c>
      <x:c r="N118" s="17"/>
      <x:c r="O118" s="17"/>
    </x:row>
    <x:row r="119" ht="39.599998474121094" hidden="0" customHeight="1">
      <x:c r="A119" s="7" t="str">
        <x:v>SIAJ-0219</x:v>
      </x:c>
      <x:c r="B119" s="7" t="str">
        <x:v>SCA</x:v>
      </x:c>
      <x:c r="C119" s="7" t="str">
        <x:v>HIGH</x:v>
      </x:c>
      <x:c r="D119" s="8" t="str">
        <x:v>Dependencia brace-expansion-2.0.2</x:v>
      </x:c>
      <x:c r="E119" s="7" t="str">
        <x:v>brace-expansion</x:v>
      </x:c>
      <x:c r="F119" s="7" t="str">
        <x:v>2.0.2</x:v>
      </x:c>
      <x:c r="G119" s="7" t="str">
        <x:v>CWE-400</x:v>
      </x:c>
      <x:c r="H119" s="7" t="str">
        <x:v>CVE-2026-33750</x:v>
      </x:c>
      <x:c r="I119" s="7" t="n">
        <x:v>117</x:v>
      </x:c>
      <x:c r="J119" s="9" t="str">
        <x:v>PENDIENTE</x:v>
      </x:c>
      <x:c r="K119" s="10" t="n">
        <x:v>46433</x:v>
      </x:c>
      <x:c r="L119" s="7" t="str">
        <x:v>Avance 2027-02-15</x:v>
      </x:c>
      <x:c r="M119" s="8" t="str">
        <x:v>The brace-expansion library generates arbitrary strings containing a common prefix and suffix. In versions prior to 1.1.13, 2.0.0 prior to 2.0.3, 3.0.0 prior to 3.0.2 and 4.0.0 pri</x:v>
      </x:c>
      <x:c r="N119" s="17"/>
      <x:c r="O119" s="17"/>
    </x:row>
    <x:row r="120" ht="39.599998474121094" hidden="0" customHeight="1">
      <x:c r="A120" s="7" t="str">
        <x:v>SIAJ-0220</x:v>
      </x:c>
      <x:c r="B120" s="7" t="str">
        <x:v>SCA</x:v>
      </x:c>
      <x:c r="C120" s="7" t="str">
        <x:v>HIGH</x:v>
      </x:c>
      <x:c r="D120" s="8" t="str">
        <x:v>Dependencia brace-expansion-2.0.2</x:v>
      </x:c>
      <x:c r="E120" s="7" t="str">
        <x:v>brace-expansion</x:v>
      </x:c>
      <x:c r="F120" s="7" t="str">
        <x:v>2.0.2</x:v>
      </x:c>
      <x:c r="G120" s="7" t="str">
        <x:v>CWE-400</x:v>
      </x:c>
      <x:c r="H120" s="7" t="str">
        <x:v>CVE-2026-14257</x:v>
      </x:c>
      <x:c r="I120" s="7" t="n">
        <x:v>118</x:v>
      </x:c>
      <x:c r="J120" s="9" t="str">
        <x:v>PENDIENTE</x:v>
      </x:c>
      <x:c r="K120" s="10" t="n">
        <x:v>46433</x:v>
      </x:c>
      <x:c r="L120" s="7" t="str">
        <x:v>Avance 2027-02-15</x:v>
      </x:c>
      <x:c r="M120" s="8" t="str">
        <x:v>brace-expansion through 5.0.7 is vulnerable to denial of service via memory exhaustion. The expand() function limits the number of results with a max option (default 100,000) but d</x:v>
      </x:c>
      <x:c r="N120" s="17"/>
      <x:c r="O120" s="17"/>
    </x:row>
    <x:row r="121" ht="39.599998474121094" hidden="0" customHeight="1">
      <x:c r="A121" s="7" t="str">
        <x:v>SIAJ-0221</x:v>
      </x:c>
      <x:c r="B121" s="7" t="str">
        <x:v>SCA</x:v>
      </x:c>
      <x:c r="C121" s="7" t="str">
        <x:v>HIGH</x:v>
      </x:c>
      <x:c r="D121" s="8" t="str">
        <x:v>Dependencia brace-expansion-2.0.2</x:v>
      </x:c>
      <x:c r="E121" s="7" t="str">
        <x:v>brace-expansion</x:v>
      </x:c>
      <x:c r="F121" s="7" t="str">
        <x:v>2.0.2</x:v>
      </x:c>
      <x:c r="G121" s="7" t="str">
        <x:v>CWE-400</x:v>
      </x:c>
      <x:c r="H121" s="7" t="str">
        <x:v>CVE-2026-13149</x:v>
      </x:c>
      <x:c r="I121" s="7" t="n">
        <x:v>118</x:v>
      </x:c>
      <x:c r="J121" s="9" t="str">
        <x:v>PENDIENTE</x:v>
      </x:c>
      <x:c r="K121" s="10" t="n">
        <x:v>46433</x:v>
      </x:c>
      <x:c r="L121" s="7" t="str">
        <x:v>Avance 2027-02-15</x:v>
      </x:c>
      <x:c r="M121" s="8" t="str">
        <x:v>brace-expansion through 5.0.6 is vulnerable to denial of service. The expand() function e xhibits exponential-time complexity in the number of consecutive non-expanding '{}' brace</x:v>
      </x:c>
      <x:c r="N121" s="17"/>
      <x:c r="O121" s="17"/>
    </x:row>
    <x:row r="122" ht="39.599998474121094" hidden="0" customHeight="1">
      <x:c r="A122" s="7" t="str">
        <x:v>SIAJ-0296</x:v>
      </x:c>
      <x:c r="B122" s="7" t="str">
        <x:v>SCA</x:v>
      </x:c>
      <x:c r="C122" s="7" t="str">
        <x:v>HIGH</x:v>
      </x:c>
      <x:c r="D122" s="8" t="str">
        <x:v>Dependencia ch.qos.logback:logback-core-1.5.21</x:v>
      </x:c>
      <x:c r="E122" s="7" t="str">
        <x:v>ch.qos.logback:logback-core</x:v>
      </x:c>
      <x:c r="F122" s="7" t="str">
        <x:v>1.5.21</x:v>
      </x:c>
      <x:c r="G122" s="7" t="str">
        <x:v>CWE-20</x:v>
      </x:c>
      <x:c r="H122" s="7" t="str">
        <x:v>CVE-2026-13006</x:v>
      </x:c>
      <x:c r="I122" s="7" t="n">
        <x:v>144</x:v>
      </x:c>
      <x:c r="J122" s="9" t="str">
        <x:v>PENDIENTE</x:v>
      </x:c>
      <x:c r="K122" s="10" t="n">
        <x:v>46433</x:v>
      </x:c>
      <x:c r="L122" s="7" t="str">
        <x:v>Avance 2027-02-15</x:v>
      </x:c>
      <x:c r="M122" s="8" t="str">
        <x:v>ACE vulnerability in conditional configuration file processing by QOS.CH logback-core in Java applications, allows an attacker to execute arbitrary code, circumventing existing pro</x:v>
      </x:c>
      <x:c r="N122" s="17"/>
      <x:c r="O122" s="17"/>
    </x:row>
    <x:row r="123" ht="39.599998474121094" hidden="0" customHeight="1">
      <x:c r="A123" s="7" t="str">
        <x:v>SIAJ-0299</x:v>
      </x:c>
      <x:c r="B123" s="7" t="str">
        <x:v>SCA</x:v>
      </x:c>
      <x:c r="C123" s="7" t="str">
        <x:v>HIGH</x:v>
      </x:c>
      <x:c r="D123" s="8" t="str">
        <x:v>Dependencia com.fasterxml.jackson.core:jackson-core-2.18.5</x:v>
      </x:c>
      <x:c r="E123" s="7" t="str">
        <x:v>com.fasterxml.jackson.core:jackson-core</x:v>
      </x:c>
      <x:c r="F123" s="7" t="str">
        <x:v>2.18.5</x:v>
      </x:c>
      <x:c r="G123" s="7" t="str">
        <x:v>CWE-770</x:v>
      </x:c>
      <x:c r="H123" s="7" t="str">
        <x:v>Cx2c9af752-2171</x:v>
      </x:c>
      <x:c r="I123" s="7" t="n">
        <x:v>146</x:v>
      </x:c>
      <x:c r="J123" s="9" t="str">
        <x:v>PENDIENTE</x:v>
      </x:c>
      <x:c r="K123" s="10" t="n">
        <x:v>46433</x:v>
      </x:c>
      <x:c r="L123" s="7" t="str">
        <x:v>Avance 2027-02-15</x:v>
      </x:c>
      <x:c r="M123" s="8" t="str">
        <x:v>The fix released in jackson-core `2.18.6` and `2.21.1` for [GHSA-72hv-8253-57qq] (Num ber Length Constraint Bypass in Async Parser, published 2026-02-28) is incomplete. The fix com</x:v>
      </x:c>
      <x:c r="N123" s="17"/>
      <x:c r="O123" s="17"/>
    </x:row>
    <x:row r="124" ht="39.599998474121094" hidden="0" customHeight="1">
      <x:c r="A124" s="7" t="str">
        <x:v>SIAJ-0300</x:v>
      </x:c>
      <x:c r="B124" s="7" t="str">
        <x:v>SCA</x:v>
      </x:c>
      <x:c r="C124" s="7" t="str">
        <x:v>HIGH</x:v>
      </x:c>
      <x:c r="D124" s="8" t="str">
        <x:v>Dependencia com.fasterxml.jackson.core:jackson-core-2.18.5</x:v>
      </x:c>
      <x:c r="E124" s="7" t="str">
        <x:v>com.fasterxml.jackson.core:jackson-core</x:v>
      </x:c>
      <x:c r="F124" s="7" t="str">
        <x:v>2.18.5</x:v>
      </x:c>
      <x:c r="G124" s="7" t="str">
        <x:v>CWE-770</x:v>
      </x:c>
      <x:c r="H124" s="7" t="str">
        <x:v>Cxfa47c4e4-5ef9</x:v>
      </x:c>
      <x:c r="I124" s="7" t="n">
        <x:v>146</x:v>
      </x:c>
      <x:c r="J124" s="9" t="str">
        <x:v>PENDIENTE</x:v>
      </x:c>
      <x:c r="K124" s="10" t="n">
        <x:v>46433</x:v>
      </x:c>
      <x:c r="L124" s="7" t="str">
        <x:v>Avance 2027-02-15</x:v>
      </x:c>
      <x:c r="M124" s="8" t="str">
        <x:v>The non-blocking (async) JSON parser in jackson-core bypasses the "maxNumberLengt h" constraint (default: 1000 characters) defined in "StreamReadConstraints". This allows an attack</x:v>
      </x:c>
      <x:c r="N124" s="17"/>
      <x:c r="O124" s="17"/>
    </x:row>
    <x:row r="125" ht="39.599998474121094" hidden="0" customHeight="1">
      <x:c r="A125" s="7" t="str">
        <x:v>SIAJ-0222</x:v>
      </x:c>
      <x:c r="B125" s="7" t="str">
        <x:v>SCA</x:v>
      </x:c>
      <x:c r="C125" s="7" t="str">
        <x:v>HIGH</x:v>
      </x:c>
      <x:c r="D125" s="8" t="str">
        <x:v>Dependencia com.fasterxml.jackson.core:jackson-databind-2.18.5</x:v>
      </x:c>
      <x:c r="E125" s="7" t="str">
        <x:v>com.fasterxml.jackson.core:jackson-databind</x:v>
      </x:c>
      <x:c r="F125" s="7" t="str">
        <x:v>2.18.5</x:v>
      </x:c>
      <x:c r="G125" s="7" t="str">
        <x:v>CWE-184</x:v>
      </x:c>
      <x:c r="H125" s="7" t="str">
        <x:v>CVE-2026-54512</x:v>
      </x:c>
      <x:c r="I125" s="7" t="n">
        <x:v>118</x:v>
      </x:c>
      <x:c r="J125" s="9" t="str">
        <x:v>PENDIENTE</x:v>
      </x:c>
      <x:c r="K125" s="10" t="n">
        <x:v>46461</x:v>
      </x:c>
      <x:c r="L125" s="7" t="str">
        <x:v>Avance 2027-03-15</x:v>
      </x:c>
      <x:c r="M125" s="8" t="str">
        <x:v>jackson-databind contains the general-purpose data-binding functionality and tree-mod el for Jackson Data Processor. From 2.10.0 prior to 2.18.8, 2.19.x prior to 2.21.4, and 3.x pr</x:v>
      </x:c>
      <x:c r="N125" s="17"/>
      <x:c r="O125" s="17"/>
    </x:row>
    <x:row r="126" ht="39.599998474121094" hidden="0" customHeight="1">
      <x:c r="A126" s="7" t="str">
        <x:v>SIAJ-0223</x:v>
      </x:c>
      <x:c r="B126" s="7" t="str">
        <x:v>SCA</x:v>
      </x:c>
      <x:c r="C126" s="7" t="str">
        <x:v>HIGH</x:v>
      </x:c>
      <x:c r="D126" s="8" t="str">
        <x:v>Dependencia com.fasterxml.jackson.core:jackson-databind-2.18.5</x:v>
      </x:c>
      <x:c r="E126" s="7" t="str">
        <x:v>com.fasterxml.jackson.core:jackson-databind</x:v>
      </x:c>
      <x:c r="F126" s="7" t="str">
        <x:v>2.18.5</x:v>
      </x:c>
      <x:c r="G126" s="7" t="str">
        <x:v>CWE-184</x:v>
      </x:c>
      <x:c r="H126" s="7" t="str">
        <x:v>CVE-2026-54513</x:v>
      </x:c>
      <x:c r="I126" s="7" t="n">
        <x:v>119</x:v>
      </x:c>
      <x:c r="J126" s="9" t="str">
        <x:v>PENDIENTE</x:v>
      </x:c>
      <x:c r="K126" s="10" t="n">
        <x:v>46461</x:v>
      </x:c>
      <x:c r="L126" s="7" t="str">
        <x:v>Avance 2027-03-15</x:v>
      </x:c>
      <x:c r="M126" s="8" t="str">
        <x:v>jackson-databind contains the general-purpose data-binding functionality and tree-mod el for Jackson Data Processor. In versions 2.10.0 prior to 2.18.8, 2.19.0 prior to 2.21.4 and</x:v>
      </x:c>
      <x:c r="N126" s="17"/>
      <x:c r="O126" s="17"/>
    </x:row>
    <x:row r="127" ht="39.599998474121094" hidden="0" customHeight="1">
      <x:c r="A127" s="7" t="str">
        <x:v>SIAJ-0297</x:v>
      </x:c>
      <x:c r="B127" s="7" t="str">
        <x:v>SCA</x:v>
      </x:c>
      <x:c r="C127" s="7" t="str">
        <x:v>HIGH</x:v>
      </x:c>
      <x:c r="D127" s="8" t="str">
        <x:v>Dependencia com.google.protobuf:protobuf-java-3.24.4</x:v>
      </x:c>
      <x:c r="E127" s="7" t="str">
        <x:v>com.google.protobuf:protobuf-java</x:v>
      </x:c>
      <x:c r="F127" s="7" t="str">
        <x:v>3.24.4</x:v>
      </x:c>
      <x:c r="G127" s="7" t="str">
        <x:v>CWE-787</x:v>
      </x:c>
      <x:c r="H127" s="7" t="str">
        <x:v>CVE-2024-7254</x:v>
      </x:c>
      <x:c r="I127" s="7" t="n">
        <x:v>145</x:v>
      </x:c>
      <x:c r="J127" s="9" t="str">
        <x:v>PENDIENTE</x:v>
      </x:c>
      <x:c r="K127" s="10" t="n">
        <x:v>46461</x:v>
      </x:c>
      <x:c r="L127" s="7" t="str">
        <x:v>Avance 2027-03-15</x:v>
      </x:c>
      <x:c r="M127" s="8" t="str">
        <x:v>Any project that parses untrusted Protocol Buffers data containing an arbitrary number o f nested groups/series of SGROUP tags can corrupted by exceeding the stack limit i.e. Stack</x:v>
      </x:c>
      <x:c r="N127" s="17"/>
      <x:c r="O127" s="17"/>
    </x:row>
    <x:row r="128" ht="39.599998474121094" hidden="0" customHeight="1">
      <x:c r="A128" s="7" t="str">
        <x:v>SIAJ-0298</x:v>
      </x:c>
      <x:c r="B128" s="7" t="str">
        <x:v>SCA</x:v>
      </x:c>
      <x:c r="C128" s="7" t="str">
        <x:v>HIGH</x:v>
      </x:c>
      <x:c r="D128" s="8" t="str">
        <x:v>Dependencia com.google.protobuf:protobuf-kotlin-3.24.4</x:v>
      </x:c>
      <x:c r="E128" s="7" t="str">
        <x:v>com.google.protobuf:protobuf-kotlin</x:v>
      </x:c>
      <x:c r="F128" s="7" t="str">
        <x:v>3.24.4</x:v>
      </x:c>
      <x:c r="G128" s="7" t="str">
        <x:v>CWE-787</x:v>
      </x:c>
      <x:c r="H128" s="7" t="str">
        <x:v>CVE-2024-7254</x:v>
      </x:c>
      <x:c r="I128" s="7" t="n">
        <x:v>145</x:v>
      </x:c>
      <x:c r="J128" s="9" t="str">
        <x:v>PENDIENTE</x:v>
      </x:c>
      <x:c r="K128" s="10" t="n">
        <x:v>46461</x:v>
      </x:c>
      <x:c r="L128" s="7" t="str">
        <x:v>Avance 2027-03-15</x:v>
      </x:c>
      <x:c r="M128" s="8" t="str">
        <x:v>Any project that parses untrusted Protocol Buffers data containing an arbitrary number o f nested groups/series of SGROUP tags can corrupted by exceeding the stack limit i.e. Stack</x:v>
      </x:c>
      <x:c r="N128" s="17"/>
      <x:c r="O128" s="17"/>
    </x:row>
    <x:row r="129" ht="52.79999923706055" hidden="0" customHeight="1">
      <x:c r="A129" s="7" t="str">
        <x:v>SIAJ-0305</x:v>
      </x:c>
      <x:c r="B129" s="7" t="str">
        <x:v>SCA</x:v>
      </x:c>
      <x:c r="C129" s="7" t="str">
        <x:v>HIGH</x:v>
      </x:c>
      <x:c r="D129" s="8" t="str">
        <x:v>Dependencia commons-io:commons-io-2.11.0</x:v>
      </x:c>
      <x:c r="E129" s="7" t="str">
        <x:v>commons-io:commons-io</x:v>
      </x:c>
      <x:c r="F129" s="7" t="str">
        <x:v>2.11.0</x:v>
      </x:c>
      <x:c r="G129" s="7" t="str">
        <x:v>CWE-400</x:v>
      </x:c>
      <x:c r="H129" s="7" t="str">
        <x:v>CVE-2024-47554</x:v>
      </x:c>
      <x:c r="I129" s="7" t="n">
        <x:v>148</x:v>
      </x:c>
      <x:c r="J129" s="9" t="str">
        <x:v>PENDIENTE</x:v>
      </x:c>
      <x:c r="K129" s="10" t="n">
        <x:v>46461</x:v>
      </x:c>
      <x:c r="L129" s="7" t="str">
        <x:v>Avance 2027-03-15</x:v>
      </x:c>
      <x:c r="M129" s="8" t="str">
        <x:v>Uncontrolled Resource Consumption vulnerability in Apache Commons IO. The "org.apac he.commons.io.input.XmlStreamReader" class may excessively consume CPU resources when proces sin</x:v>
      </x:c>
      <x:c r="N129" s="17"/>
      <x:c r="O129" s="17"/>
    </x:row>
    <x:row r="130" ht="39.599998474121094" hidden="0" customHeight="1">
      <x:c r="A130" s="7" t="str">
        <x:v>SIAJ-0283</x:v>
      </x:c>
      <x:c r="B130" s="7" t="str">
        <x:v>SCA</x:v>
      </x:c>
      <x:c r="C130" s="7" t="str">
        <x:v>HIGH</x:v>
      </x:c>
      <x:c r="D130" s="8" t="str">
        <x:v>Dependencia inflight-1.0.6</x:v>
      </x:c>
      <x:c r="E130" s="7" t="str">
        <x:v>inflight</x:v>
      </x:c>
      <x:c r="F130" s="7" t="str">
        <x:v>1.0.6</x:v>
      </x:c>
      <x:c r="G130" s="7" t="str">
        <x:v>CWE-772</x:v>
      </x:c>
      <x:c r="H130" s="7" t="str">
        <x:v>Cxdca8e59f-8bfe</x:v>
      </x:c>
      <x:c r="I130" s="7" t="n">
        <x:v>140</x:v>
      </x:c>
      <x:c r="J130" s="9" t="str">
        <x:v>PENDIENTE</x:v>
      </x:c>
      <x:c r="K130" s="10" t="n">
        <x:v>46461</x:v>
      </x:c>
      <x:c r="L130" s="7" t="str">
        <x:v>Avance 2027-03-15</x:v>
      </x:c>
      <x:c r="M130" s="8" t="str">
        <x:v>In NPM `inflight` there is a Memory Leak because some resources are not freed correctly after being used. It appears to affect all versions, as the issue was not addressed and no f</x:v>
      </x:c>
      <x:c r="N130" s="17"/>
      <x:c r="O130" s="17"/>
    </x:row>
    <x:row r="131" ht="52.79999923706055" hidden="0" customHeight="1">
      <x:c r="A131" s="7" t="str">
        <x:v>SIAJ-0256</x:v>
      </x:c>
      <x:c r="B131" s="7" t="str">
        <x:v>SCA</x:v>
      </x:c>
      <x:c r="C131" s="7" t="str">
        <x:v>HIGH</x:v>
      </x:c>
      <x:c r="D131" s="8" t="str">
        <x:v>Dependencia io.netty:netty-codec-4.1.110.Final</x:v>
      </x:c>
      <x:c r="E131" s="7" t="str">
        <x:v>io.netty:netty-codec</x:v>
      </x:c>
      <x:c r="F131" s="7" t="str">
        <x:v>4.1.110.Final</x:v>
      </x:c>
      <x:c r="G131" s="7" t="str">
        <x:v>CWE-400</x:v>
      </x:c>
      <x:c r="H131" s="7" t="str">
        <x:v>CVE-2026-42583</x:v>
      </x:c>
      <x:c r="I131" s="7" t="n">
        <x:v>130</x:v>
      </x:c>
      <x:c r="J131" s="9" t="str">
        <x:v>PENDIENTE</x:v>
      </x:c>
      <x:c r="K131" s="10" t="n">
        <x:v>46461</x:v>
      </x:c>
      <x:c r="L131" s="7" t="str">
        <x:v>Avance 2027-03-15</x:v>
      </x:c>
      <x:c r="M131" s="8" t="str">
        <x:v>Netty is an asynchronous, event-driven network application framework. Prior to 4.1.133.Fi nal and io.netty:netty-codec-compression versions prior to 4.2.13.Final, Lz4FrameDecoder a</x:v>
      </x:c>
      <x:c r="N131" s="17"/>
      <x:c r="O131" s="17"/>
    </x:row>
    <x:row r="132" ht="39.599998474121094" hidden="0" customHeight="1">
      <x:c r="A132" s="7" t="str">
        <x:v>SIAJ-0257</x:v>
      </x:c>
      <x:c r="B132" s="7" t="str">
        <x:v>SCA</x:v>
      </x:c>
      <x:c r="C132" s="7" t="str">
        <x:v>HIGH</x:v>
      </x:c>
      <x:c r="D132" s="8" t="str">
        <x:v>Dependencia io.netty:netty-codec-4.1.110.Final</x:v>
      </x:c>
      <x:c r="E132" s="7" t="str">
        <x:v>io.netty:netty-codec</x:v>
      </x:c>
      <x:c r="F132" s="7" t="str">
        <x:v>4.1.110.Final</x:v>
      </x:c>
      <x:c r="G132" s="7" t="str">
        <x:v>CWE-835</x:v>
      </x:c>
      <x:c r="H132" s="7" t="str">
        <x:v>CVE-2026-59901</x:v>
      </x:c>
      <x:c r="I132" s="7" t="n">
        <x:v>131</x:v>
      </x:c>
      <x:c r="J132" s="9" t="str">
        <x:v>PENDIENTE</x:v>
      </x:c>
      <x:c r="K132" s="10" t="n">
        <x:v>46461</x:v>
      </x:c>
      <x:c r="L132" s="7" t="str">
        <x:v>Avance 2027-03-15</x:v>
      </x:c>
      <x:c r="M132" s="8" t="str">
        <x:v>The `Bzip2Decoder` handler in Netty's compression codec pipeline is vulnerable to a De nial-of-Service (DoS) attack through a malformed bzip2 stream that permanently captures the e</x:v>
      </x:c>
      <x:c r="N132" s="17"/>
      <x:c r="O132" s="17"/>
    </x:row>
    <x:row r="133" ht="52.79999923706055" hidden="0" customHeight="1">
      <x:c r="A133" s="7" t="str">
        <x:v>SIAJ-0266</x:v>
      </x:c>
      <x:c r="B133" s="7" t="str">
        <x:v>SCA</x:v>
      </x:c>
      <x:c r="C133" s="7" t="str">
        <x:v>HIGH</x:v>
      </x:c>
      <x:c r="D133" s="8" t="str">
        <x:v>Dependencia io.netty:netty-codec-4.1.128.Final</x:v>
      </x:c>
      <x:c r="E133" s="7" t="str">
        <x:v>io.netty:netty-codec</x:v>
      </x:c>
      <x:c r="F133" s="7" t="str">
        <x:v>4.1.128.Final</x:v>
      </x:c>
      <x:c r="G133" s="7" t="str">
        <x:v>CWE-400</x:v>
      </x:c>
      <x:c r="H133" s="7" t="str">
        <x:v>CVE-2026-42583</x:v>
      </x:c>
      <x:c r="I133" s="7" t="n">
        <x:v>134</x:v>
      </x:c>
      <x:c r="J133" s="9" t="str">
        <x:v>PENDIENTE</x:v>
      </x:c>
      <x:c r="K133" s="10" t="n">
        <x:v>46461</x:v>
      </x:c>
      <x:c r="L133" s="7" t="str">
        <x:v>Avance 2027-03-15</x:v>
      </x:c>
      <x:c r="M133" s="8" t="str">
        <x:v>Netty is an asynchronous, event-driven network application framework. Prior to 4.1.133.Fi nal and io.netty:netty-codec-compression versions prior to 4.2.13.Final, Lz4FrameDecoder a</x:v>
      </x:c>
      <x:c r="N133" s="17"/>
      <x:c r="O133" s="17"/>
    </x:row>
    <x:row r="134" ht="39.599998474121094" hidden="0" customHeight="1">
      <x:c r="A134" s="7" t="str">
        <x:v>SIAJ-0267</x:v>
      </x:c>
      <x:c r="B134" s="7" t="str">
        <x:v>SCA</x:v>
      </x:c>
      <x:c r="C134" s="7" t="str">
        <x:v>HIGH</x:v>
      </x:c>
      <x:c r="D134" s="8" t="str">
        <x:v>Dependencia io.netty:netty-codec-4.1.128.Final</x:v>
      </x:c>
      <x:c r="E134" s="7" t="str">
        <x:v>io.netty:netty-codec</x:v>
      </x:c>
      <x:c r="F134" s="7" t="str">
        <x:v>4.1.128.Final</x:v>
      </x:c>
      <x:c r="G134" s="7" t="str">
        <x:v>CWE-835</x:v>
      </x:c>
      <x:c r="H134" s="7" t="str">
        <x:v>CVE-2026-59901</x:v>
      </x:c>
      <x:c r="I134" s="7" t="n">
        <x:v>135</x:v>
      </x:c>
      <x:c r="J134" s="9" t="str">
        <x:v>PENDIENTE</x:v>
      </x:c>
      <x:c r="K134" s="10" t="n">
        <x:v>46461</x:v>
      </x:c>
      <x:c r="L134" s="7" t="str">
        <x:v>Avance 2027-03-15</x:v>
      </x:c>
      <x:c r="M134" s="8" t="str">
        <x:v>The `Bzip2Decoder` handler in Netty's compression codec pipeline is vulnerable to a De nial-of-Service (DoS) attack through a malformed bzip2 stream that permanently captures the e</x:v>
      </x:c>
      <x:c r="N134" s="17"/>
      <x:c r="O134" s="17"/>
    </x:row>
    <x:row r="135" ht="52.79999923706055" hidden="0" customHeight="1">
      <x:c r="A135" s="7" t="str">
        <x:v>SIAJ-0334</x:v>
      </x:c>
      <x:c r="B135" s="7" t="str">
        <x:v>SCA</x:v>
      </x:c>
      <x:c r="C135" s="7" t="str">
        <x:v>HIGH</x:v>
      </x:c>
      <x:c r="D135" s="8" t="str">
        <x:v>Dependencia io.netty:netty-codec-4.1.93.Final</x:v>
      </x:c>
      <x:c r="E135" s="7" t="str">
        <x:v>io.netty:netty-codec</x:v>
      </x:c>
      <x:c r="F135" s="7" t="str">
        <x:v>4.1.93.Final</x:v>
      </x:c>
      <x:c r="G135" s="7" t="str">
        <x:v>CWE-400</x:v>
      </x:c>
      <x:c r="H135" s="7" t="str">
        <x:v>CVE-2026-42583</x:v>
      </x:c>
      <x:c r="I135" s="7" t="n">
        <x:v>158</x:v>
      </x:c>
      <x:c r="J135" s="9" t="str">
        <x:v>PENDIENTE</x:v>
      </x:c>
      <x:c r="K135" s="10" t="n">
        <x:v>46461</x:v>
      </x:c>
      <x:c r="L135" s="7" t="str">
        <x:v>Avance 2027-03-15</x:v>
      </x:c>
      <x:c r="M135" s="8" t="str">
        <x:v>Netty is an asynchronous, event-driven network application framework. Prior to 4.1.133.Fi nal and io.netty:netty-codec-compression versions prior to 4.2.13.Final, Lz4FrameDecoder a</x:v>
      </x:c>
      <x:c r="N135" s="17"/>
      <x:c r="O135" s="17"/>
    </x:row>
    <x:row r="136" ht="39.599998474121094" hidden="0" customHeight="1">
      <x:c r="A136" s="7" t="str">
        <x:v>SIAJ-0335</x:v>
      </x:c>
      <x:c r="B136" s="7" t="str">
        <x:v>SCA</x:v>
      </x:c>
      <x:c r="C136" s="7" t="str">
        <x:v>HIGH</x:v>
      </x:c>
      <x:c r="D136" s="8" t="str">
        <x:v>Dependencia io.netty:netty-codec-4.1.93.Final</x:v>
      </x:c>
      <x:c r="E136" s="7" t="str">
        <x:v>io.netty:netty-codec</x:v>
      </x:c>
      <x:c r="F136" s="7" t="str">
        <x:v>4.1.93.Final</x:v>
      </x:c>
      <x:c r="G136" s="7" t="str">
        <x:v>CWE-835</x:v>
      </x:c>
      <x:c r="H136" s="7" t="str">
        <x:v>CVE-2026-59901</x:v>
      </x:c>
      <x:c r="I136" s="7" t="n">
        <x:v>158</x:v>
      </x:c>
      <x:c r="J136" s="9" t="str">
        <x:v>PENDIENTE</x:v>
      </x:c>
      <x:c r="K136" s="10" t="n">
        <x:v>46461</x:v>
      </x:c>
      <x:c r="L136" s="7" t="str">
        <x:v>Avance 2027-03-15</x:v>
      </x:c>
      <x:c r="M136" s="8" t="str">
        <x:v>The `Bzip2Decoder` handler in Netty's compression codec pipeline is vulnerable to a De nial-of-Service (DoS) attack through a malformed bzip2 stream that permanently captures the e</x:v>
      </x:c>
      <x:c r="N136" s="17"/>
      <x:c r="O136" s="17"/>
    </x:row>
    <x:row r="137" ht="39.599998474121094" hidden="0" customHeight="1">
      <x:c r="A137" s="7" t="str">
        <x:v>SIAJ-0270</x:v>
      </x:c>
      <x:c r="B137" s="7" t="str">
        <x:v>SCA</x:v>
      </x:c>
      <x:c r="C137" s="7" t="str">
        <x:v>HIGH</x:v>
      </x:c>
      <x:c r="D137" s="8" t="str">
        <x:v>Dependencia io.netty:netty-codec-http-4.1.110.Final</x:v>
      </x:c>
      <x:c r="E137" s="7" t="str">
        <x:v>io.netty:netty-codec-http</x:v>
      </x:c>
      <x:c r="F137" s="7" t="str">
        <x:v>4.1.110.Final</x:v>
      </x:c>
      <x:c r="G137" s="7" t="str">
        <x:v>CWE-444</x:v>
      </x:c>
      <x:c r="H137" s="7" t="str">
        <x:v>CVE-2026-33870</x:v>
      </x:c>
      <x:c r="I137" s="7" t="n">
        <x:v>136</x:v>
      </x:c>
      <x:c r="J137" s="9" t="str">
        <x:v>PENDIENTE</x:v>
      </x:c>
      <x:c r="K137" s="10" t="n">
        <x:v>46461</x:v>
      </x:c>
      <x:c r="L137" s="7" t="str">
        <x:v>Avance 2027-03-15</x:v>
      </x:c>
      <x:c r="M137" s="8" t="str">
        <x:v>Netty is an asynchronous, event-driven network application framework. In 'netty-microbe nch' versions through 4.1.131.Final and 4.2.x through 4.2.10.Final and 'netty-codec-http' ve</x:v>
      </x:c>
      <x:c r="N137" s="17"/>
      <x:c r="O137" s="17"/>
    </x:row>
    <x:row r="138" ht="39.599998474121094" hidden="0" customHeight="1">
      <x:c r="A138" s="7" t="str">
        <x:v>SIAJ-0271</x:v>
      </x:c>
      <x:c r="B138" s="7" t="str">
        <x:v>SCA</x:v>
      </x:c>
      <x:c r="C138" s="7" t="str">
        <x:v>HIGH</x:v>
      </x:c>
      <x:c r="D138" s="8" t="str">
        <x:v>Dependencia io.netty:netty-codec-http-4.1.110.Final</x:v>
      </x:c>
      <x:c r="E138" s="7" t="str">
        <x:v>io.netty:netty-codec-http</x:v>
      </x:c>
      <x:c r="F138" s="7" t="str">
        <x:v>4.1.110.Final</x:v>
      </x:c>
      <x:c r="G138" s="7" t="str">
        <x:v>CWE-444</x:v>
      </x:c>
      <x:c r="H138" s="7" t="str">
        <x:v>CVE-2026-42585</x:v>
      </x:c>
      <x:c r="I138" s="7" t="n">
        <x:v>136</x:v>
      </x:c>
      <x:c r="J138" s="9" t="str">
        <x:v>PENDIENTE</x:v>
      </x:c>
      <x:c r="K138" s="10" t="n">
        <x:v>46461</x:v>
      </x:c>
      <x:c r="L138" s="7" t="str">
        <x:v>Avance 2027-03-15</x:v>
      </x:c>
      <x:c r="M138" s="8" t="str">
        <x:v>Netty is an asynchronous, event-driven network application framework. Prior to 4.1.133.Fi nal, 4.2.x prior to 4.2.13.Final and 5.0.0.Alpha1 and 5.0.0.Alpha2, Netty incorrectly pars</x:v>
      </x:c>
      <x:c r="N138" s="17"/>
      <x:c r="O138" s="17"/>
    </x:row>
    <x:row r="139" ht="39.599998474121094" hidden="0" customHeight="1">
      <x:c r="A139" s="7" t="str">
        <x:v>SIAJ-0274</x:v>
      </x:c>
      <x:c r="B139" s="7" t="str">
        <x:v>SCA</x:v>
      </x:c>
      <x:c r="C139" s="7" t="str">
        <x:v>HIGH</x:v>
      </x:c>
      <x:c r="D139" s="8" t="str">
        <x:v>Dependencia io.netty:netty-codec-http-4.1.110.Final</x:v>
      </x:c>
      <x:c r="E139" s="7" t="str">
        <x:v>io.netty:netty-codec-http</x:v>
      </x:c>
      <x:c r="F139" s="7" t="str">
        <x:v>4.1.110.Final</x:v>
      </x:c>
      <x:c r="G139" s="7" t="str">
        <x:v>CWE-400</x:v>
      </x:c>
      <x:c r="H139" s="7" t="str">
        <x:v>CVE-2026-42587</x:v>
      </x:c>
      <x:c r="I139" s="7" t="n">
        <x:v>137</x:v>
      </x:c>
      <x:c r="J139" s="9" t="str">
        <x:v>PENDIENTE</x:v>
      </x:c>
      <x:c r="K139" s="10" t="n">
        <x:v>46461</x:v>
      </x:c>
      <x:c r="L139" s="7" t="str">
        <x:v>Avance 2027-03-15</x:v>
      </x:c>
      <x:c r="M139" s="8" t="str">
        <x:v>`HttpContentDecompressor` accepts a `maxAllocation` parameter to limit decompressio n buffer size and prevent decompression bomb attacks. This limit is correctly enforced for gzip</x:v>
      </x:c>
      <x:c r="N139" s="17"/>
      <x:c r="O139" s="17"/>
    </x:row>
    <x:row r="140" ht="39.599998474121094" hidden="0" customHeight="1">
      <x:c r="A140" s="7" t="str">
        <x:v>SIAJ-0275</x:v>
      </x:c>
      <x:c r="B140" s="7" t="str">
        <x:v>SCA</x:v>
      </x:c>
      <x:c r="C140" s="7" t="str">
        <x:v>HIGH</x:v>
      </x:c>
      <x:c r="D140" s="8" t="str">
        <x:v>Dependencia io.netty:netty-codec-http-4.1.110.Final</x:v>
      </x:c>
      <x:c r="E140" s="7" t="str">
        <x:v>io.netty:netty-codec-http</x:v>
      </x:c>
      <x:c r="F140" s="7" t="str">
        <x:v>4.1.110.Final</x:v>
      </x:c>
      <x:c r="G140" s="7" t="str">
        <x:v>CWE-400</x:v>
      </x:c>
      <x:c r="H140" s="7" t="str">
        <x:v>CVE-2026-55831</x:v>
      </x:c>
      <x:c r="I140" s="7" t="n">
        <x:v>137</x:v>
      </x:c>
      <x:c r="J140" s="9" t="str">
        <x:v>PENDIENTE</x:v>
      </x:c>
      <x:c r="K140" s="10" t="n">
        <x:v>46461</x:v>
      </x:c>
      <x:c r="L140" s="7" t="str">
        <x:v>Avance 2027-03-15</x:v>
      </x:c>
      <x:c r="M140" s="8" t="str">
        <x:v>Netty is a network application framework for development of protocol servers and client s. 4.1.x Prior to 4.1.136.Final, and 4.2.x prior to 4.2.16.Final, Netty's SPDY SETTINGS deco</x:v>
      </x:c>
      <x:c r="N140" s="17"/>
      <x:c r="O140" s="17"/>
    </x:row>
    <x:row r="141" ht="39.599998474121094" hidden="0" customHeight="1">
      <x:c r="A141" s="7" t="str">
        <x:v>SIAJ-0276</x:v>
      </x:c>
      <x:c r="B141" s="7" t="str">
        <x:v>SCA</x:v>
      </x:c>
      <x:c r="C141" s="7" t="str">
        <x:v>HIGH</x:v>
      </x:c>
      <x:c r="D141" s="8" t="str">
        <x:v>Dependencia io.netty:netty-codec-http-4.1.110.Final</x:v>
      </x:c>
      <x:c r="E141" s="7" t="str">
        <x:v>io.netty:netty-codec-http</x:v>
      </x:c>
      <x:c r="F141" s="7" t="str">
        <x:v>4.1.110.Final</x:v>
      </x:c>
      <x:c r="G141" s="7" t="str">
        <x:v>CWE-400</x:v>
      </x:c>
      <x:c r="H141" s="7" t="str">
        <x:v>CVE-2026-55833</x:v>
      </x:c>
      <x:c r="I141" s="7" t="n">
        <x:v>138</x:v>
      </x:c>
      <x:c r="J141" s="9" t="str">
        <x:v>PENDIENTE</x:v>
      </x:c>
      <x:c r="K141" s="10" t="n">
        <x:v>46461</x:v>
      </x:c>
      <x:c r="L141" s="7" t="str">
        <x:v>Avance 2027-03-15</x:v>
      </x:c>
      <x:c r="M141" s="8" t="str">
        <x:v>Netty is a network application framework for development of protocol servers and client s. 4.1.x Prior to 4.1.136.Final, and 4.2.x prior to 4.2.16.Final,, Netty SPDY header decodin</x:v>
      </x:c>
      <x:c r="N141" s="17"/>
      <x:c r="O141" s="17"/>
    </x:row>
    <x:row r="142" ht="39.599998474121094" hidden="0" customHeight="1">
      <x:c r="A142" s="7" t="str">
        <x:v>SIAJ-0277</x:v>
      </x:c>
      <x:c r="B142" s="7" t="str">
        <x:v>SCA</x:v>
      </x:c>
      <x:c r="C142" s="7" t="str">
        <x:v>HIGH</x:v>
      </x:c>
      <x:c r="D142" s="8" t="str">
        <x:v>Dependencia io.netty:netty-codec-http-4.1.110.Final</x:v>
      </x:c>
      <x:c r="E142" s="7" t="str">
        <x:v>io.netty:netty-codec-http</x:v>
      </x:c>
      <x:c r="F142" s="7" t="str">
        <x:v>4.1.110.Final</x:v>
      </x:c>
      <x:c r="G142" s="7" t="str">
        <x:v>CWE-400</x:v>
      </x:c>
      <x:c r="H142" s="7" t="str">
        <x:v>CVE-2026-56745</x:v>
      </x:c>
      <x:c r="I142" s="7" t="n">
        <x:v>138</x:v>
      </x:c>
      <x:c r="J142" s="9" t="str">
        <x:v>PENDIENTE</x:v>
      </x:c>
      <x:c r="K142" s="10" t="n">
        <x:v>46492</x:v>
      </x:c>
      <x:c r="L142" s="7" t="str">
        <x:v>Avance 2027-04-15</x:v>
      </x:c>
      <x:c r="M142" s="8" t="str">
        <x:v>Netty is a network application framework for development of protocol servers and client s. In versions 4.2.0.Final through 4.2.15.Final and 4.1.0.Final through 4.1.135.Final, the `</x:v>
      </x:c>
      <x:c r="N142" s="17"/>
      <x:c r="O142" s="17"/>
    </x:row>
    <x:row r="143" ht="39.599998474121094" hidden="0" customHeight="1">
      <x:c r="A143" s="7" t="str">
        <x:v>SIAJ-0284</x:v>
      </x:c>
      <x:c r="B143" s="7" t="str">
        <x:v>SCA</x:v>
      </x:c>
      <x:c r="C143" s="7" t="str">
        <x:v>HIGH</x:v>
      </x:c>
      <x:c r="D143" s="8" t="str">
        <x:v>Dependencia io.netty:netty-codec-http-4.1.128.Final</x:v>
      </x:c>
      <x:c r="E143" s="7" t="str">
        <x:v>io.netty:netty-codec-http</x:v>
      </x:c>
      <x:c r="F143" s="7" t="str">
        <x:v>4.1.128.Final</x:v>
      </x:c>
      <x:c r="G143" s="7" t="str">
        <x:v>CWE-444</x:v>
      </x:c>
      <x:c r="H143" s="7" t="str">
        <x:v>CVE-2026-33870</x:v>
      </x:c>
      <x:c r="I143" s="7" t="n">
        <x:v>140</x:v>
      </x:c>
      <x:c r="J143" s="9" t="str">
        <x:v>PENDIENTE</x:v>
      </x:c>
      <x:c r="K143" s="10" t="n">
        <x:v>46492</x:v>
      </x:c>
      <x:c r="L143" s="7" t="str">
        <x:v>Avance 2027-04-15</x:v>
      </x:c>
      <x:c r="M143" s="8" t="str">
        <x:v>Netty is an asynchronous, event-driven network application framework. In 'netty-microbe nch' versions through 4.1.131.Final and 4.2.x through 4.2.10.Final and 'netty-codec-http' ve</x:v>
      </x:c>
      <x:c r="N143" s="17"/>
      <x:c r="O143" s="17"/>
    </x:row>
    <x:row r="144" ht="39.599998474121094" hidden="0" customHeight="1">
      <x:c r="A144" s="7" t="str">
        <x:v>SIAJ-0285</x:v>
      </x:c>
      <x:c r="B144" s="7" t="str">
        <x:v>SCA</x:v>
      </x:c>
      <x:c r="C144" s="7" t="str">
        <x:v>HIGH</x:v>
      </x:c>
      <x:c r="D144" s="8" t="str">
        <x:v>Dependencia io.netty:netty-codec-http-4.1.128.Final</x:v>
      </x:c>
      <x:c r="E144" s="7" t="str">
        <x:v>io.netty:netty-codec-http</x:v>
      </x:c>
      <x:c r="F144" s="7" t="str">
        <x:v>4.1.128.Final</x:v>
      </x:c>
      <x:c r="G144" s="7" t="str">
        <x:v>CWE-444</x:v>
      </x:c>
      <x:c r="H144" s="7" t="str">
        <x:v>CVE-2026-42585</x:v>
      </x:c>
      <x:c r="I144" s="7" t="n">
        <x:v>141</x:v>
      </x:c>
      <x:c r="J144" s="9" t="str">
        <x:v>PENDIENTE</x:v>
      </x:c>
      <x:c r="K144" s="10" t="n">
        <x:v>46492</x:v>
      </x:c>
      <x:c r="L144" s="7" t="str">
        <x:v>Avance 2027-04-15</x:v>
      </x:c>
      <x:c r="M144" s="8" t="str">
        <x:v>Netty is an asynchronous, event-driven network application framework. Prior to 4.1.133.Fi nal, 4.2.x prior to 4.2.13.Final and 5.0.0.Alpha1 and 5.0.0.Alpha2, Netty incorrectly pars</x:v>
      </x:c>
      <x:c r="N144" s="17"/>
      <x:c r="O144" s="17"/>
    </x:row>
    <x:row r="145" ht="39.599998474121094" hidden="0" customHeight="1">
      <x:c r="A145" s="7" t="str">
        <x:v>SIAJ-0288</x:v>
      </x:c>
      <x:c r="B145" s="7" t="str">
        <x:v>SCA</x:v>
      </x:c>
      <x:c r="C145" s="7" t="str">
        <x:v>HIGH</x:v>
      </x:c>
      <x:c r="D145" s="8" t="str">
        <x:v>Dependencia io.netty:netty-codec-http-4.1.128.Final</x:v>
      </x:c>
      <x:c r="E145" s="7" t="str">
        <x:v>io.netty:netty-codec-http</x:v>
      </x:c>
      <x:c r="F145" s="7" t="str">
        <x:v>4.1.128.Final</x:v>
      </x:c>
      <x:c r="G145" s="7" t="str">
        <x:v>CWE-400</x:v>
      </x:c>
      <x:c r="H145" s="7" t="str">
        <x:v>CVE-2026-42587</x:v>
      </x:c>
      <x:c r="I145" s="7" t="n">
        <x:v>142</x:v>
      </x:c>
      <x:c r="J145" s="9" t="str">
        <x:v>PENDIENTE</x:v>
      </x:c>
      <x:c r="K145" s="10" t="n">
        <x:v>46492</x:v>
      </x:c>
      <x:c r="L145" s="7" t="str">
        <x:v>Avance 2027-04-15</x:v>
      </x:c>
      <x:c r="M145" s="8" t="str">
        <x:v>`HttpContentDecompressor` accepts a `maxAllocation` parameter to limit decompressio n buffer size and prevent decompression bomb attacks. This limit is correctly enforced for gzip</x:v>
      </x:c>
      <x:c r="N145" s="17"/>
      <x:c r="O145" s="17"/>
    </x:row>
    <x:row r="146" ht="39.599998474121094" hidden="0" customHeight="1">
      <x:c r="A146" s="7" t="str">
        <x:v>SIAJ-0289</x:v>
      </x:c>
      <x:c r="B146" s="7" t="str">
        <x:v>SCA</x:v>
      </x:c>
      <x:c r="C146" s="7" t="str">
        <x:v>HIGH</x:v>
      </x:c>
      <x:c r="D146" s="8" t="str">
        <x:v>Dependencia io.netty:netty-codec-http-4.1.128.Final</x:v>
      </x:c>
      <x:c r="E146" s="7" t="str">
        <x:v>io.netty:netty-codec-http</x:v>
      </x:c>
      <x:c r="F146" s="7" t="str">
        <x:v>4.1.128.Final</x:v>
      </x:c>
      <x:c r="G146" s="7" t="str">
        <x:v>CWE-400</x:v>
      </x:c>
      <x:c r="H146" s="7" t="str">
        <x:v>CVE-2026-55831</x:v>
      </x:c>
      <x:c r="I146" s="7" t="n">
        <x:v>142</x:v>
      </x:c>
      <x:c r="J146" s="9" t="str">
        <x:v>PENDIENTE</x:v>
      </x:c>
      <x:c r="K146" s="10" t="n">
        <x:v>46492</x:v>
      </x:c>
      <x:c r="L146" s="7" t="str">
        <x:v>Avance 2027-04-15</x:v>
      </x:c>
      <x:c r="M146" s="8" t="str">
        <x:v>Netty is a network application framework for development of protocol servers and client s. 4.1.x Prior to 4.1.136.Final, and 4.2.x prior to 4.2.16.Final, Netty's SPDY SETTINGS deco</x:v>
      </x:c>
      <x:c r="N146" s="17"/>
      <x:c r="O146" s="17"/>
    </x:row>
    <x:row r="147" ht="39.599998474121094" hidden="0" customHeight="1">
      <x:c r="A147" s="7" t="str">
        <x:v>SIAJ-0290</x:v>
      </x:c>
      <x:c r="B147" s="7" t="str">
        <x:v>SCA</x:v>
      </x:c>
      <x:c r="C147" s="7" t="str">
        <x:v>HIGH</x:v>
      </x:c>
      <x:c r="D147" s="8" t="str">
        <x:v>Dependencia io.netty:netty-codec-http-4.1.128.Final</x:v>
      </x:c>
      <x:c r="E147" s="7" t="str">
        <x:v>io.netty:netty-codec-http</x:v>
      </x:c>
      <x:c r="F147" s="7" t="str">
        <x:v>4.1.128.Final</x:v>
      </x:c>
      <x:c r="G147" s="7" t="str">
        <x:v>CWE-400</x:v>
      </x:c>
      <x:c r="H147" s="7" t="str">
        <x:v>CVE-2026-55833</x:v>
      </x:c>
      <x:c r="I147" s="7" t="n">
        <x:v>142</x:v>
      </x:c>
      <x:c r="J147" s="9" t="str">
        <x:v>PENDIENTE</x:v>
      </x:c>
      <x:c r="K147" s="10" t="n">
        <x:v>46492</x:v>
      </x:c>
      <x:c r="L147" s="7" t="str">
        <x:v>Avance 2027-04-15</x:v>
      </x:c>
      <x:c r="M147" s="8" t="str">
        <x:v>Netty is a network application framework for development of protocol servers and client s. 4.1.x Prior to 4.1.136.Final, and 4.2.x prior to 4.2.16.Final,, Netty SPDY header decodin</x:v>
      </x:c>
      <x:c r="N147" s="17"/>
      <x:c r="O147" s="17"/>
    </x:row>
    <x:row r="148" ht="39.599998474121094" hidden="0" customHeight="1">
      <x:c r="A148" s="7" t="str">
        <x:v>SIAJ-0291</x:v>
      </x:c>
      <x:c r="B148" s="7" t="str">
        <x:v>SCA</x:v>
      </x:c>
      <x:c r="C148" s="7" t="str">
        <x:v>HIGH</x:v>
      </x:c>
      <x:c r="D148" s="8" t="str">
        <x:v>Dependencia io.netty:netty-codec-http-4.1.128.Final</x:v>
      </x:c>
      <x:c r="E148" s="7" t="str">
        <x:v>io.netty:netty-codec-http</x:v>
      </x:c>
      <x:c r="F148" s="7" t="str">
        <x:v>4.1.128.Final</x:v>
      </x:c>
      <x:c r="G148" s="7" t="str">
        <x:v>CWE-400</x:v>
      </x:c>
      <x:c r="H148" s="7" t="str">
        <x:v>CVE-2026-56745</x:v>
      </x:c>
      <x:c r="I148" s="7" t="n">
        <x:v>143</x:v>
      </x:c>
      <x:c r="J148" s="9" t="str">
        <x:v>PENDIENTE</x:v>
      </x:c>
      <x:c r="K148" s="10" t="n">
        <x:v>46492</x:v>
      </x:c>
      <x:c r="L148" s="7" t="str">
        <x:v>Avance 2027-04-15</x:v>
      </x:c>
      <x:c r="M148" s="8" t="str">
        <x:v>Netty is a network application framework for development of protocol servers and client s. In versions 4.2.0.Final through 4.2.15.Final and 4.1.0.Final through 4.1.135.Final, the `</x:v>
      </x:c>
      <x:c r="N148" s="17"/>
      <x:c r="O148" s="17"/>
    </x:row>
    <x:row r="149" ht="39.599998474121094" hidden="0" customHeight="1">
      <x:c r="A149" s="7" t="str">
        <x:v>SIAJ-0306</x:v>
      </x:c>
      <x:c r="B149" s="7" t="str">
        <x:v>SCA</x:v>
      </x:c>
      <x:c r="C149" s="7" t="str">
        <x:v>HIGH</x:v>
      </x:c>
      <x:c r="D149" s="8" t="str">
        <x:v>Dependencia io.netty:netty-codec-http-4.1.93.Final</x:v>
      </x:c>
      <x:c r="E149" s="7" t="str">
        <x:v>io.netty:netty-codec-http</x:v>
      </x:c>
      <x:c r="F149" s="7" t="str">
        <x:v>4.1.93.Final</x:v>
      </x:c>
      <x:c r="G149" s="7" t="str">
        <x:v>CWE-444</x:v>
      </x:c>
      <x:c r="H149" s="7" t="str">
        <x:v>CVE-2026-33870</x:v>
      </x:c>
      <x:c r="I149" s="7" t="n">
        <x:v>149</x:v>
      </x:c>
      <x:c r="J149" s="9" t="str">
        <x:v>PENDIENTE</x:v>
      </x:c>
      <x:c r="K149" s="10" t="n">
        <x:v>46492</x:v>
      </x:c>
      <x:c r="L149" s="7" t="str">
        <x:v>Avance 2027-04-15</x:v>
      </x:c>
      <x:c r="M149" s="8" t="str">
        <x:v>Netty is an asynchronous, event-driven network application framework. In 'netty-microbe nch' versions through 4.1.131.Final and 4.2.x through 4.2.10.Final and 'netty-codec-http' ve</x:v>
      </x:c>
      <x:c r="N149" s="17"/>
      <x:c r="O149" s="17"/>
    </x:row>
    <x:row r="150" ht="39.599998474121094" hidden="0" customHeight="1">
      <x:c r="A150" s="7" t="str">
        <x:v>SIAJ-0307</x:v>
      </x:c>
      <x:c r="B150" s="7" t="str">
        <x:v>SCA</x:v>
      </x:c>
      <x:c r="C150" s="7" t="str">
        <x:v>HIGH</x:v>
      </x:c>
      <x:c r="D150" s="8" t="str">
        <x:v>Dependencia io.netty:netty-codec-http-4.1.93.Final</x:v>
      </x:c>
      <x:c r="E150" s="7" t="str">
        <x:v>io.netty:netty-codec-http</x:v>
      </x:c>
      <x:c r="F150" s="7" t="str">
        <x:v>4.1.93.Final</x:v>
      </x:c>
      <x:c r="G150" s="7" t="str">
        <x:v>CWE-444</x:v>
      </x:c>
      <x:c r="H150" s="7" t="str">
        <x:v>CVE-2026-42585</x:v>
      </x:c>
      <x:c r="I150" s="7" t="n">
        <x:v>149</x:v>
      </x:c>
      <x:c r="J150" s="9" t="str">
        <x:v>PENDIENTE</x:v>
      </x:c>
      <x:c r="K150" s="10" t="n">
        <x:v>46492</x:v>
      </x:c>
      <x:c r="L150" s="7" t="str">
        <x:v>Avance 2027-04-15</x:v>
      </x:c>
      <x:c r="M150" s="8" t="str">
        <x:v>Netty is an asynchronous, event-driven network application framework. Prior to 4.1.133.Fi nal, 4.2.x prior to 4.2.13.Final and 5.0.0.Alpha1 and 5.0.0.Alpha2, Netty incorrectly pars</x:v>
      </x:c>
      <x:c r="N150" s="17"/>
      <x:c r="O150" s="17"/>
    </x:row>
    <x:row r="151" ht="39.599998474121094" hidden="0" customHeight="1">
      <x:c r="A151" s="7" t="str">
        <x:v>SIAJ-0310</x:v>
      </x:c>
      <x:c r="B151" s="7" t="str">
        <x:v>SCA</x:v>
      </x:c>
      <x:c r="C151" s="7" t="str">
        <x:v>HIGH</x:v>
      </x:c>
      <x:c r="D151" s="8" t="str">
        <x:v>Dependencia io.netty:netty-codec-http-4.1.93.Final</x:v>
      </x:c>
      <x:c r="E151" s="7" t="str">
        <x:v>io.netty:netty-codec-http</x:v>
      </x:c>
      <x:c r="F151" s="7" t="str">
        <x:v>4.1.93.Final</x:v>
      </x:c>
      <x:c r="G151" s="7" t="str">
        <x:v>CWE-400</x:v>
      </x:c>
      <x:c r="H151" s="7" t="str">
        <x:v>CVE-2026-42587</x:v>
      </x:c>
      <x:c r="I151" s="7" t="n">
        <x:v>150</x:v>
      </x:c>
      <x:c r="J151" s="9" t="str">
        <x:v>PENDIENTE</x:v>
      </x:c>
      <x:c r="K151" s="10" t="n">
        <x:v>46492</x:v>
      </x:c>
      <x:c r="L151" s="7" t="str">
        <x:v>Avance 2027-04-15</x:v>
      </x:c>
      <x:c r="M151" s="8" t="str">
        <x:v>`HttpContentDecompressor` accepts a `maxAllocation` parameter to limit decompressio n buffer size and prevent decompression bomb attacks. This limit is correctly enforced for gzip</x:v>
      </x:c>
      <x:c r="N151" s="17"/>
      <x:c r="O151" s="17"/>
    </x:row>
    <x:row r="152" ht="39.599998474121094" hidden="0" customHeight="1">
      <x:c r="A152" s="7" t="str">
        <x:v>SIAJ-0311</x:v>
      </x:c>
      <x:c r="B152" s="7" t="str">
        <x:v>SCA</x:v>
      </x:c>
      <x:c r="C152" s="7" t="str">
        <x:v>HIGH</x:v>
      </x:c>
      <x:c r="D152" s="8" t="str">
        <x:v>Dependencia io.netty:netty-codec-http-4.1.93.Final</x:v>
      </x:c>
      <x:c r="E152" s="7" t="str">
        <x:v>io.netty:netty-codec-http</x:v>
      </x:c>
      <x:c r="F152" s="7" t="str">
        <x:v>4.1.93.Final</x:v>
      </x:c>
      <x:c r="G152" s="7" t="str">
        <x:v>CWE-400</x:v>
      </x:c>
      <x:c r="H152" s="7" t="str">
        <x:v>CVE-2026-55831</x:v>
      </x:c>
      <x:c r="I152" s="7" t="n">
        <x:v>150</x:v>
      </x:c>
      <x:c r="J152" s="9" t="str">
        <x:v>PENDIENTE</x:v>
      </x:c>
      <x:c r="K152" s="10" t="n">
        <x:v>46492</x:v>
      </x:c>
      <x:c r="L152" s="7" t="str">
        <x:v>Avance 2027-04-15</x:v>
      </x:c>
      <x:c r="M152" s="8" t="str">
        <x:v>Netty is a network application framework for development of protocol servers and client s. 4.1.x Prior to 4.1.136.Final, and 4.2.x prior to 4.2.16.Final, Netty's SPDY SETTINGS deco</x:v>
      </x:c>
      <x:c r="N152" s="17"/>
      <x:c r="O152" s="17"/>
    </x:row>
    <x:row r="153" ht="39.599998474121094" hidden="0" customHeight="1">
      <x:c r="A153" s="7" t="str">
        <x:v>SIAJ-0312</x:v>
      </x:c>
      <x:c r="B153" s="7" t="str">
        <x:v>SCA</x:v>
      </x:c>
      <x:c r="C153" s="7" t="str">
        <x:v>HIGH</x:v>
      </x:c>
      <x:c r="D153" s="8" t="str">
        <x:v>Dependencia io.netty:netty-codec-http-4.1.93.Final</x:v>
      </x:c>
      <x:c r="E153" s="7" t="str">
        <x:v>io.netty:netty-codec-http</x:v>
      </x:c>
      <x:c r="F153" s="7" t="str">
        <x:v>4.1.93.Final</x:v>
      </x:c>
      <x:c r="G153" s="7" t="str">
        <x:v>CWE-400</x:v>
      </x:c>
      <x:c r="H153" s="7" t="str">
        <x:v>CVE-2026-55833</x:v>
      </x:c>
      <x:c r="I153" s="7" t="n">
        <x:v>151</x:v>
      </x:c>
      <x:c r="J153" s="9" t="str">
        <x:v>PENDIENTE</x:v>
      </x:c>
      <x:c r="K153" s="10" t="n">
        <x:v>46492</x:v>
      </x:c>
      <x:c r="L153" s="7" t="str">
        <x:v>Avance 2027-04-15</x:v>
      </x:c>
      <x:c r="M153" s="8" t="str">
        <x:v>Netty is a network application framework for development of protocol servers and client s. 4.1.x Prior to 4.1.136.Final, and 4.2.x prior to 4.2.16.Final,, Netty SPDY header decodin</x:v>
      </x:c>
      <x:c r="N153" s="17"/>
      <x:c r="O153" s="17"/>
    </x:row>
    <x:row r="154" ht="39.599998474121094" hidden="0" customHeight="1">
      <x:c r="A154" s="7" t="str">
        <x:v>SIAJ-0313</x:v>
      </x:c>
      <x:c r="B154" s="7" t="str">
        <x:v>SCA</x:v>
      </x:c>
      <x:c r="C154" s="7" t="str">
        <x:v>HIGH</x:v>
      </x:c>
      <x:c r="D154" s="8" t="str">
        <x:v>Dependencia io.netty:netty-codec-http-4.1.93.Final</x:v>
      </x:c>
      <x:c r="E154" s="7" t="str">
        <x:v>io.netty:netty-codec-http</x:v>
      </x:c>
      <x:c r="F154" s="7" t="str">
        <x:v>4.1.93.Final</x:v>
      </x:c>
      <x:c r="G154" s="7" t="str">
        <x:v>CWE-400</x:v>
      </x:c>
      <x:c r="H154" s="7" t="str">
        <x:v>CVE-2026-56745</x:v>
      </x:c>
      <x:c r="I154" s="7" t="n">
        <x:v>151</x:v>
      </x:c>
      <x:c r="J154" s="9" t="str">
        <x:v>PENDIENTE</x:v>
      </x:c>
      <x:c r="K154" s="10" t="n">
        <x:v>46492</x:v>
      </x:c>
      <x:c r="L154" s="7" t="str">
        <x:v>Avance 2027-04-15</x:v>
      </x:c>
      <x:c r="M154" s="8" t="str">
        <x:v>Netty is a network application framework for development of protocol servers and client s. In versions 4.2.0.Final through 4.2.15.Final and 4.1.0.Final through 4.1.135.Final, the `</x:v>
      </x:c>
      <x:c r="N154" s="17"/>
      <x:c r="O154" s="17"/>
    </x:row>
    <x:row r="155" ht="39.599998474121094" hidden="0" customHeight="1">
      <x:c r="A155" s="7" t="str">
        <x:v>SIAJ-0321</x:v>
      </x:c>
      <x:c r="B155" s="7" t="str">
        <x:v>SCA</x:v>
      </x:c>
      <x:c r="C155" s="7" t="str">
        <x:v>HIGH</x:v>
      </x:c>
      <x:c r="D155" s="8" t="str">
        <x:v>Dependencia io.netty:netty-codec-http2-4.1.110.Final</x:v>
      </x:c>
      <x:c r="E155" s="7" t="str">
        <x:v>io.netty:netty-codec-http2</x:v>
      </x:c>
      <x:c r="F155" s="7" t="str">
        <x:v>4.1.110.Final</x:v>
      </x:c>
      <x:c r="G155" s="7" t="str">
        <x:v>CWE-770</x:v>
      </x:c>
      <x:c r="H155" s="7" t="str">
        <x:v>CVE-2025-55163</x:v>
      </x:c>
      <x:c r="I155" s="7" t="n">
        <x:v>153</x:v>
      </x:c>
      <x:c r="J155" s="9" t="str">
        <x:v>PENDIENTE</x:v>
      </x:c>
      <x:c r="K155" s="10" t="n">
        <x:v>46492</x:v>
      </x:c>
      <x:c r="L155" s="7" t="str">
        <x:v>Avance 2027-04-15</x:v>
      </x:c>
      <x:c r="M155" s="8" t="str">
        <x:v>Netty is an asynchronous, event-driven network application framework. Netty is vulnerab le to the "MadeYouReset" DDoS attack. This is a logical vulnerability in the HTTP/2 protocol</x:v>
      </x:c>
      <x:c r="N155" s="17"/>
      <x:c r="O155" s="17"/>
    </x:row>
    <x:row r="156" ht="39.599998474121094" hidden="0" customHeight="1">
      <x:c r="A156" s="7" t="str">
        <x:v>SIAJ-0322</x:v>
      </x:c>
      <x:c r="B156" s="7" t="str">
        <x:v>SCA</x:v>
      </x:c>
      <x:c r="C156" s="7" t="str">
        <x:v>HIGH</x:v>
      </x:c>
      <x:c r="D156" s="8" t="str">
        <x:v>Dependencia io.netty:netty-codec-http2-4.1.110.Final</x:v>
      </x:c>
      <x:c r="E156" s="7" t="str">
        <x:v>io.netty:netty-codec-http2</x:v>
      </x:c>
      <x:c r="F156" s="7" t="str">
        <x:v>4.1.110.Final</x:v>
      </x:c>
      <x:c r="G156" s="7" t="str">
        <x:v>CWE-770</x:v>
      </x:c>
      <x:c r="H156" s="7" t="str">
        <x:v>CVE-2026-33871</x:v>
      </x:c>
      <x:c r="I156" s="7" t="n">
        <x:v>154</x:v>
      </x:c>
      <x:c r="J156" s="9" t="str">
        <x:v>PENDIENTE</x:v>
      </x:c>
      <x:c r="K156" s="10" t="n">
        <x:v>46492</x:v>
      </x:c>
      <x:c r="L156" s="7" t="str">
        <x:v>Avance 2027-04-15</x:v>
      </x:c>
      <x:c r="M156" s="8" t="str">
        <x:v>A remote user can trigger a Denial of Service (DoS) against a Netty HTTP/2 server by sen ding a flood of `CONTINUATION` frames. The server's lack of a limit on the number of `CONTI</x:v>
      </x:c>
      <x:c r="N156" s="17"/>
      <x:c r="O156" s="17"/>
    </x:row>
    <x:row r="157" ht="39.599998474121094" hidden="0" customHeight="1">
      <x:c r="A157" s="7" t="str">
        <x:v>SIAJ-0323</x:v>
      </x:c>
      <x:c r="B157" s="7" t="str">
        <x:v>SCA</x:v>
      </x:c>
      <x:c r="C157" s="7" t="str">
        <x:v>HIGH</x:v>
      </x:c>
      <x:c r="D157" s="8" t="str">
        <x:v>Dependencia io.netty:netty-codec-http2-4.1.110.Final</x:v>
      </x:c>
      <x:c r="E157" s="7" t="str">
        <x:v>io.netty:netty-codec-http2</x:v>
      </x:c>
      <x:c r="F157" s="7" t="str">
        <x:v>4.1.110.Final</x:v>
      </x:c>
      <x:c r="G157" s="7" t="str">
        <x:v>CWE-400</x:v>
      </x:c>
      <x:c r="H157" s="7" t="str">
        <x:v>CVE-2026-42587</x:v>
      </x:c>
      <x:c r="I157" s="7" t="n">
        <x:v>154</x:v>
      </x:c>
      <x:c r="J157" s="9" t="str">
        <x:v>PENDIENTE</x:v>
      </x:c>
      <x:c r="K157" s="10" t="n">
        <x:v>46492</x:v>
      </x:c>
      <x:c r="L157" s="7" t="str">
        <x:v>Avance 2027-04-15</x:v>
      </x:c>
      <x:c r="M157" s="8" t="str">
        <x:v>`HttpContentDecompressor` accepts a `maxAllocation` parameter to limit decompressio n buffer size and prevent decompression bomb attacks. This limit is correctly enforced for gzip</x:v>
      </x:c>
      <x:c r="N157" s="17"/>
      <x:c r="O157" s="17"/>
    </x:row>
    <x:row r="158" ht="39.599998474121094" hidden="0" customHeight="1">
      <x:c r="A158" s="7" t="str">
        <x:v>SIAJ-0324</x:v>
      </x:c>
      <x:c r="B158" s="7" t="str">
        <x:v>SCA</x:v>
      </x:c>
      <x:c r="C158" s="7" t="str">
        <x:v>HIGH</x:v>
      </x:c>
      <x:c r="D158" s="8" t="str">
        <x:v>Dependencia io.netty:netty-codec-http2-4.1.110.Final</x:v>
      </x:c>
      <x:c r="E158" s="7" t="str">
        <x:v>io.netty:netty-codec-http2</x:v>
      </x:c>
      <x:c r="F158" s="7" t="str">
        <x:v>4.1.110.Final</x:v>
      </x:c>
      <x:c r="G158" s="7" t="str">
        <x:v>CWE-400</x:v>
      </x:c>
      <x:c r="H158" s="7" t="str">
        <x:v>CVE-2026-48043</x:v>
      </x:c>
      <x:c r="I158" s="7" t="n">
        <x:v>154</x:v>
      </x:c>
      <x:c r="J158" s="9" t="str">
        <x:v>PENDIENTE</x:v>
      </x:c>
      <x:c r="K158" s="10" t="n">
        <x:v>46492</x:v>
      </x:c>
      <x:c r="L158" s="7" t="str">
        <x:v>Avance 2027-04-15</x:v>
      </x:c>
      <x:c r="M158" s="8" t="str">
        <x:v>Netty is a network application framework for development of protocol servers and client s. In netty-codec-http2 prior to versions 4.1.135.Final and 4.2.0.Alpha1 prior to 4.2.15.Fin</x:v>
      </x:c>
      <x:c r="N158" s="17"/>
      <x:c r="O158" s="17"/>
    </x:row>
    <x:row r="159" ht="39.599998474121094" hidden="0" customHeight="1">
      <x:c r="A159" s="7" t="str">
        <x:v>SIAJ-0325</x:v>
      </x:c>
      <x:c r="B159" s="7" t="str">
        <x:v>SCA</x:v>
      </x:c>
      <x:c r="C159" s="7" t="str">
        <x:v>HIGH</x:v>
      </x:c>
      <x:c r="D159" s="8" t="str">
        <x:v>Dependencia io.netty:netty-codec-http2-4.1.110.Final</x:v>
      </x:c>
      <x:c r="E159" s="7" t="str">
        <x:v>io.netty:netty-codec-http2</x:v>
      </x:c>
      <x:c r="F159" s="7" t="str">
        <x:v>4.1.110.Final</x:v>
      </x:c>
      <x:c r="G159" s="7" t="str">
        <x:v>CWE-400</x:v>
      </x:c>
      <x:c r="H159" s="7" t="str">
        <x:v>CVE-2026-56819</x:v>
      </x:c>
      <x:c r="I159" s="7" t="n">
        <x:v>155</x:v>
      </x:c>
      <x:c r="J159" s="9" t="str">
        <x:v>PENDIENTE</x:v>
      </x:c>
      <x:c r="K159" s="10" t="n">
        <x:v>46492</x:v>
      </x:c>
      <x:c r="L159" s="7" t="str">
        <x:v>Avance 2027-04-15</x:v>
      </x:c>
      <x:c r="M159" s="8" t="str">
        <x:v>Netty is a network application framework for development of protocol servers and client s. In versions 4.2.0.Final through 4.2.15.Final and 4.1.0.Final through 4.1.135.Final, a rem</x:v>
      </x:c>
      <x:c r="N159" s="17"/>
      <x:c r="O159" s="17"/>
    </x:row>
    <x:row r="160" ht="39.599998474121094" hidden="0" customHeight="1">
      <x:c r="A160" s="7" t="str">
        <x:v>SIAJ-0327</x:v>
      </x:c>
      <x:c r="B160" s="7" t="str">
        <x:v>SCA</x:v>
      </x:c>
      <x:c r="C160" s="7" t="str">
        <x:v>HIGH</x:v>
      </x:c>
      <x:c r="D160" s="8" t="str">
        <x:v>Dependencia io.netty:netty-codec-http2-4.1.93.Final</x:v>
      </x:c>
      <x:c r="E160" s="7" t="str">
        <x:v>io.netty:netty-codec-http2</x:v>
      </x:c>
      <x:c r="F160" s="7" t="str">
        <x:v>4.1.93.Final</x:v>
      </x:c>
      <x:c r="G160" s="7" t="str">
        <x:v>CWE-400</x:v>
      </x:c>
      <x:c r="H160" s="7" t="str">
        <x:v>CVE-2023-44487</x:v>
      </x:c>
      <x:c r="I160" s="7" t="n">
        <x:v>156</x:v>
      </x:c>
      <x:c r="J160" s="9" t="str">
        <x:v>PENDIENTE</x:v>
      </x:c>
      <x:c r="K160" s="10" t="n">
        <x:v>46522</x:v>
      </x:c>
      <x:c r="L160" s="7" t="str">
        <x:v>Avance 2027-05-15</x:v>
      </x:c>
      <x:c r="M160" s="8" t="str">
        <x:v>The HTTP/2 protocol allows a denial of service (server resource consumption) because r equest cancellation can reset many streams quickly, as exploited in the wild in August throug</x:v>
      </x:c>
      <x:c r="N160" s="17"/>
      <x:c r="O160" s="17"/>
    </x:row>
    <x:row r="161" ht="39.599998474121094" hidden="0" customHeight="1">
      <x:c r="A161" s="7" t="str">
        <x:v>SIAJ-0328</x:v>
      </x:c>
      <x:c r="B161" s="7" t="str">
        <x:v>SCA</x:v>
      </x:c>
      <x:c r="C161" s="7" t="str">
        <x:v>HIGH</x:v>
      </x:c>
      <x:c r="D161" s="8" t="str">
        <x:v>Dependencia io.netty:netty-codec-http2-4.1.93.Final</x:v>
      </x:c>
      <x:c r="E161" s="7" t="str">
        <x:v>io.netty:netty-codec-http2</x:v>
      </x:c>
      <x:c r="F161" s="7" t="str">
        <x:v>4.1.93.Final</x:v>
      </x:c>
      <x:c r="G161" s="7" t="str">
        <x:v>CWE-400</x:v>
      </x:c>
      <x:c r="H161" s="7" t="str">
        <x:v>CVE-2026-42587</x:v>
      </x:c>
      <x:c r="I161" s="7" t="n">
        <x:v>156</x:v>
      </x:c>
      <x:c r="J161" s="9" t="str">
        <x:v>PENDIENTE</x:v>
      </x:c>
      <x:c r="K161" s="10" t="n">
        <x:v>46522</x:v>
      </x:c>
      <x:c r="L161" s="7" t="str">
        <x:v>Avance 2027-05-15</x:v>
      </x:c>
      <x:c r="M161" s="8" t="str">
        <x:v>`HttpContentDecompressor` accepts a `maxAllocation` parameter to limit decompressio n buffer size and prevent decompression bomb attacks. This limit is correctly enforced for gzip</x:v>
      </x:c>
      <x:c r="N161" s="17"/>
      <x:c r="O161" s="17"/>
    </x:row>
    <x:row r="162" ht="39.599998474121094" hidden="0" customHeight="1">
      <x:c r="A162" s="7" t="str">
        <x:v>SIAJ-0329</x:v>
      </x:c>
      <x:c r="B162" s="7" t="str">
        <x:v>SCA</x:v>
      </x:c>
      <x:c r="C162" s="7" t="str">
        <x:v>HIGH</x:v>
      </x:c>
      <x:c r="D162" s="8" t="str">
        <x:v>Dependencia io.netty:netty-codec-http2-4.1.93.Final</x:v>
      </x:c>
      <x:c r="E162" s="7" t="str">
        <x:v>io.netty:netty-codec-http2</x:v>
      </x:c>
      <x:c r="F162" s="7" t="str">
        <x:v>4.1.93.Final</x:v>
      </x:c>
      <x:c r="G162" s="7" t="str">
        <x:v>CWE-400</x:v>
      </x:c>
      <x:c r="H162" s="7" t="str">
        <x:v>CVE-2026-48043</x:v>
      </x:c>
      <x:c r="I162" s="7" t="n">
        <x:v>156</x:v>
      </x:c>
      <x:c r="J162" s="9" t="str">
        <x:v>PENDIENTE</x:v>
      </x:c>
      <x:c r="K162" s="10" t="n">
        <x:v>46522</x:v>
      </x:c>
      <x:c r="L162" s="7" t="str">
        <x:v>Avance 2027-05-15</x:v>
      </x:c>
      <x:c r="M162" s="8" t="str">
        <x:v>Netty is a network application framework for development of protocol servers and client s. In netty-codec-http2 prior to versions 4.1.135.Final and 4.2.0.Alpha1 prior to 4.2.15.Fin</x:v>
      </x:c>
      <x:c r="N162" s="17"/>
      <x:c r="O162" s="17"/>
    </x:row>
    <x:row r="163" ht="39.599998474121094" hidden="0" customHeight="1">
      <x:c r="A163" s="7" t="str">
        <x:v>SIAJ-0330</x:v>
      </x:c>
      <x:c r="B163" s="7" t="str">
        <x:v>SCA</x:v>
      </x:c>
      <x:c r="C163" s="7" t="str">
        <x:v>HIGH</x:v>
      </x:c>
      <x:c r="D163" s="8" t="str">
        <x:v>Dependencia io.netty:netty-codec-http2-4.1.93.Final</x:v>
      </x:c>
      <x:c r="E163" s="7" t="str">
        <x:v>io.netty:netty-codec-http2</x:v>
      </x:c>
      <x:c r="F163" s="7" t="str">
        <x:v>4.1.93.Final</x:v>
      </x:c>
      <x:c r="G163" s="7" t="str">
        <x:v>CWE-400</x:v>
      </x:c>
      <x:c r="H163" s="7" t="str">
        <x:v>CVE-2026-56819</x:v>
      </x:c>
      <x:c r="I163" s="7" t="n">
        <x:v>157</x:v>
      </x:c>
      <x:c r="J163" s="9" t="str">
        <x:v>PENDIENTE</x:v>
      </x:c>
      <x:c r="K163" s="10" t="n">
        <x:v>46522</x:v>
      </x:c>
      <x:c r="L163" s="7" t="str">
        <x:v>Avance 2027-05-15</x:v>
      </x:c>
      <x:c r="M163" s="8" t="str">
        <x:v>Netty is a network application framework for development of protocol servers and client s. In versions 4.2.0.Final through 4.2.15.Final and 4.1.0.Final through 4.1.135.Final, a rem</x:v>
      </x:c>
      <x:c r="N163" s="17"/>
      <x:c r="O163" s="17"/>
    </x:row>
    <x:row r="164" ht="39.599998474121094" hidden="0" customHeight="1">
      <x:c r="A164" s="7" t="str">
        <x:v>SIAJ-0331</x:v>
      </x:c>
      <x:c r="B164" s="7" t="str">
        <x:v>SCA</x:v>
      </x:c>
      <x:c r="C164" s="7" t="str">
        <x:v>HIGH</x:v>
      </x:c>
      <x:c r="D164" s="8" t="str">
        <x:v>Dependencia io.netty:netty-codec-http2-4.1.93.Final</x:v>
      </x:c>
      <x:c r="E164" s="7" t="str">
        <x:v>io.netty:netty-codec-http2</x:v>
      </x:c>
      <x:c r="F164" s="7" t="str">
        <x:v>4.1.93.Final</x:v>
      </x:c>
      <x:c r="G164" s="7" t="str">
        <x:v>CWE-770</x:v>
      </x:c>
      <x:c r="H164" s="7" t="str">
        <x:v>CVE-2025-55163</x:v>
      </x:c>
      <x:c r="I164" s="7" t="n">
        <x:v>157</x:v>
      </x:c>
      <x:c r="J164" s="9" t="str">
        <x:v>PENDIENTE</x:v>
      </x:c>
      <x:c r="K164" s="10" t="n">
        <x:v>46522</x:v>
      </x:c>
      <x:c r="L164" s="7" t="str">
        <x:v>Avance 2027-05-15</x:v>
      </x:c>
      <x:c r="M164" s="8" t="str">
        <x:v>Netty is an asynchronous, event-driven network application framework. Netty is vulnerab le to the "MadeYouReset" DDoS attack. This is a logical vulnerability in the HTTP/2 protocol</x:v>
      </x:c>
      <x:c r="N164" s="17"/>
      <x:c r="O164" s="17"/>
    </x:row>
    <x:row r="165" ht="39.599998474121094" hidden="0" customHeight="1">
      <x:c r="A165" s="7" t="str">
        <x:v>SIAJ-0332</x:v>
      </x:c>
      <x:c r="B165" s="7" t="str">
        <x:v>SCA</x:v>
      </x:c>
      <x:c r="C165" s="7" t="str">
        <x:v>HIGH</x:v>
      </x:c>
      <x:c r="D165" s="8" t="str">
        <x:v>Dependencia io.netty:netty-codec-http2-4.1.93.Final</x:v>
      </x:c>
      <x:c r="E165" s="7" t="str">
        <x:v>io.netty:netty-codec-http2</x:v>
      </x:c>
      <x:c r="F165" s="7" t="str">
        <x:v>4.1.93.Final</x:v>
      </x:c>
      <x:c r="G165" s="7" t="str">
        <x:v>CWE-770</x:v>
      </x:c>
      <x:c r="H165" s="7" t="str">
        <x:v>CVE-2026-33871</x:v>
      </x:c>
      <x:c r="I165" s="7" t="n">
        <x:v>157</x:v>
      </x:c>
      <x:c r="J165" s="9" t="str">
        <x:v>PENDIENTE</x:v>
      </x:c>
      <x:c r="K165" s="10" t="n">
        <x:v>46522</x:v>
      </x:c>
      <x:c r="L165" s="7" t="str">
        <x:v>Avance 2027-05-15</x:v>
      </x:c>
      <x:c r="M165" s="8" t="str">
        <x:v>A remote user can trigger a Denial of Service (DoS) against a Netty HTTP/2 server by sen ding a flood of `CONTINUATION` frames. The server's lack of a limit on the number of `CONTI</x:v>
      </x:c>
      <x:c r="N165" s="17"/>
      <x:c r="O165" s="17"/>
    </x:row>
    <x:row r="166" ht="39.599998474121094" hidden="0" customHeight="1">
      <x:c r="A166" s="7" t="str">
        <x:v>SIAJ-0337</x:v>
      </x:c>
      <x:c r="B166" s="7" t="str">
        <x:v>SCA</x:v>
      </x:c>
      <x:c r="C166" s="7" t="str">
        <x:v>HIGH</x:v>
      </x:c>
      <x:c r="D166" s="8" t="str">
        <x:v>Dependencia io.netty:netty-handler-4.1.110.Final</x:v>
      </x:c>
      <x:c r="E166" s="7" t="str">
        <x:v>io.netty:netty-handler</x:v>
      </x:c>
      <x:c r="F166" s="7" t="str">
        <x:v>4.1.110.Final</x:v>
      </x:c>
      <x:c r="G166" s="7" t="str">
        <x:v>CWE-20</x:v>
      </x:c>
      <x:c r="H166" s="7" t="str">
        <x:v>CVE-2025-24970</x:v>
      </x:c>
      <x:c r="I166" s="7" t="n">
        <x:v>159</x:v>
      </x:c>
      <x:c r="J166" s="9" t="str">
        <x:v>PENDIENTE</x:v>
      </x:c>
      <x:c r="K166" s="10" t="n">
        <x:v>46522</x:v>
      </x:c>
      <x:c r="L166" s="7" t="str">
        <x:v>Avance 2027-05-15</x:v>
      </x:c>
      <x:c r="M166" s="8" t="str">
        <x:v>Netty, an asynchronous, event-driven network application framework, has a vulnerability in version 4.1.91.Final through 4.1.117.Final and 4.2.0.Alpha1 through 4.2.0.RC2. When a spe</x:v>
      </x:c>
      <x:c r="N166" s="17"/>
      <x:c r="O166" s="17"/>
    </x:row>
    <x:row r="167" ht="39.599998474121094" hidden="0" customHeight="1">
      <x:c r="A167" s="7" t="str">
        <x:v>SIAJ-0338</x:v>
      </x:c>
      <x:c r="B167" s="7" t="str">
        <x:v>SCA</x:v>
      </x:c>
      <x:c r="C167" s="7" t="str">
        <x:v>HIGH</x:v>
      </x:c>
      <x:c r="D167" s="8" t="str">
        <x:v>Dependencia io.netty:netty-handler-4.1.110.Final</x:v>
      </x:c>
      <x:c r="E167" s="7" t="str">
        <x:v>io.netty:netty-handler</x:v>
      </x:c>
      <x:c r="F167" s="7" t="str">
        <x:v>4.1.110.Final</x:v>
      </x:c>
      <x:c r="G167" s="7" t="str">
        <x:v>CWE-770</x:v>
      </x:c>
      <x:c r="H167" s="7" t="str">
        <x:v>CVE-2026-45416</x:v>
      </x:c>
      <x:c r="I167" s="7" t="n">
        <x:v>159</x:v>
      </x:c>
      <x:c r="J167" s="9" t="str">
        <x:v>PENDIENTE</x:v>
      </x:c>
      <x:c r="K167" s="10" t="n">
        <x:v>46522</x:v>
      </x:c>
      <x:c r="L167" s="7" t="str">
        <x:v>Avance 2027-05-15</x:v>
      </x:c>
      <x:c r="M167" s="8" t="str">
        <x:v>Netty is a network application framework for development of protocol servers and client s. In netty-handler versions through 4.1.134.Final, 4.2.x through 4.2.14.Final and 5.x throu</x:v>
      </x:c>
      <x:c r="N167" s="17"/>
      <x:c r="O167" s="17"/>
    </x:row>
    <x:row r="168" ht="39.599998474121094" hidden="0" customHeight="1">
      <x:c r="A168" s="7" t="str">
        <x:v>SIAJ-0339</x:v>
      </x:c>
      <x:c r="B168" s="7" t="str">
        <x:v>SCA</x:v>
      </x:c>
      <x:c r="C168" s="7" t="str">
        <x:v>HIGH</x:v>
      </x:c>
      <x:c r="D168" s="8" t="str">
        <x:v>Dependencia io.netty:netty-handler-4.1.110.Final</x:v>
      </x:c>
      <x:c r="E168" s="7" t="str">
        <x:v>io.netty:netty-handler</x:v>
      </x:c>
      <x:c r="F168" s="7" t="str">
        <x:v>4.1.110.Final</x:v>
      </x:c>
      <x:c r="G168" s="7" t="str">
        <x:v>CWE-347</x:v>
      </x:c>
      <x:c r="H168" s="7" t="str">
        <x:v>CVE-2026-50010</x:v>
      </x:c>
      <x:c r="I168" s="7" t="n">
        <x:v>160</x:v>
      </x:c>
      <x:c r="J168" s="9" t="str">
        <x:v>PENDIENTE</x:v>
      </x:c>
      <x:c r="K168" s="10" t="n">
        <x:v>46522</x:v>
      </x:c>
      <x:c r="L168" s="7" t="str">
        <x:v>Avance 2027-05-15</x:v>
      </x:c>
      <x:c r="M168" s="8" t="str">
        <x:v>Netty is a network application framework for development of protocol servers and client s. Prior to version 4.1.135.Final and 4.2.x prior to 4.2.15.Final, 'SimpleTrustManagerFactor</x:v>
      </x:c>
      <x:c r="N168" s="17"/>
      <x:c r="O168" s="17"/>
    </x:row>
    <x:row r="169" ht="39.599998474121094" hidden="0" customHeight="1">
      <x:c r="A169" s="7" t="str">
        <x:v>SIAJ-0343</x:v>
      </x:c>
      <x:c r="B169" s="7" t="str">
        <x:v>SCA</x:v>
      </x:c>
      <x:c r="C169" s="7" t="str">
        <x:v>HIGH</x:v>
      </x:c>
      <x:c r="D169" s="8" t="str">
        <x:v>Dependencia io.netty:netty-handler-4.1.128.Final</x:v>
      </x:c>
      <x:c r="E169" s="7" t="str">
        <x:v>io.netty:netty-handler</x:v>
      </x:c>
      <x:c r="F169" s="7" t="str">
        <x:v>4.1.128.Final</x:v>
      </x:c>
      <x:c r="G169" s="7" t="str">
        <x:v>CWE-770</x:v>
      </x:c>
      <x:c r="H169" s="7" t="str">
        <x:v>CVE-2026-45416</x:v>
      </x:c>
      <x:c r="I169" s="7" t="n">
        <x:v>162</x:v>
      </x:c>
      <x:c r="J169" s="9" t="str">
        <x:v>PENDIENTE</x:v>
      </x:c>
      <x:c r="K169" s="10" t="n">
        <x:v>46522</x:v>
      </x:c>
      <x:c r="L169" s="7" t="str">
        <x:v>Avance 2027-05-15</x:v>
      </x:c>
      <x:c r="M169" s="8" t="str">
        <x:v>Netty is a network application framework for development of protocol servers and client s. In netty-handler versions through 4.1.134.Final, 4.2.x through 4.2.14.Final and 5.x throu</x:v>
      </x:c>
      <x:c r="N169" s="17"/>
      <x:c r="O169" s="17"/>
    </x:row>
    <x:row r="170" ht="39.599998474121094" hidden="0" customHeight="1">
      <x:c r="A170" s="7" t="str">
        <x:v>SIAJ-0344</x:v>
      </x:c>
      <x:c r="B170" s="7" t="str">
        <x:v>SCA</x:v>
      </x:c>
      <x:c r="C170" s="7" t="str">
        <x:v>HIGH</x:v>
      </x:c>
      <x:c r="D170" s="8" t="str">
        <x:v>Dependencia io.netty:netty-handler-4.1.128.Final</x:v>
      </x:c>
      <x:c r="E170" s="7" t="str">
        <x:v>io.netty:netty-handler</x:v>
      </x:c>
      <x:c r="F170" s="7" t="str">
        <x:v>4.1.128.Final</x:v>
      </x:c>
      <x:c r="G170" s="7" t="str">
        <x:v>CWE-347</x:v>
      </x:c>
      <x:c r="H170" s="7" t="str">
        <x:v>CVE-2026-50010</x:v>
      </x:c>
      <x:c r="I170" s="7" t="n">
        <x:v>162</x:v>
      </x:c>
      <x:c r="J170" s="9" t="str">
        <x:v>PENDIENTE</x:v>
      </x:c>
      <x:c r="K170" s="10" t="n">
        <x:v>46522</x:v>
      </x:c>
      <x:c r="L170" s="7" t="str">
        <x:v>Avance 2027-05-15</x:v>
      </x:c>
      <x:c r="M170" s="8" t="str">
        <x:v>Netty is a network application framework for development of protocol servers and client s. Prior to version 4.1.135.Final and 4.2.x prior to 4.2.15.Final, 'SimpleTrustManagerFactor</x:v>
      </x:c>
      <x:c r="N170" s="17"/>
      <x:c r="O170" s="17"/>
    </x:row>
    <x:row r="171" ht="39.599998474121094" hidden="0" customHeight="1">
      <x:c r="A171" s="7" t="str">
        <x:v>SIAJ-0346</x:v>
      </x:c>
      <x:c r="B171" s="7" t="str">
        <x:v>SCA</x:v>
      </x:c>
      <x:c r="C171" s="7" t="str">
        <x:v>HIGH</x:v>
      </x:c>
      <x:c r="D171" s="8" t="str">
        <x:v>Dependencia io.netty:netty-handler-4.1.93.Final</x:v>
      </x:c>
      <x:c r="E171" s="7" t="str">
        <x:v>io.netty:netty-handler</x:v>
      </x:c>
      <x:c r="F171" s="7" t="str">
        <x:v>4.1.93.Final</x:v>
      </x:c>
      <x:c r="G171" s="7" t="str">
        <x:v>CWE-20</x:v>
      </x:c>
      <x:c r="H171" s="7" t="str">
        <x:v>CVE-2025-24970</x:v>
      </x:c>
      <x:c r="I171" s="7" t="n">
        <x:v>163</x:v>
      </x:c>
      <x:c r="J171" s="9" t="str">
        <x:v>PENDIENTE</x:v>
      </x:c>
      <x:c r="K171" s="10" t="n">
        <x:v>46522</x:v>
      </x:c>
      <x:c r="L171" s="7" t="str">
        <x:v>Avance 2027-05-15</x:v>
      </x:c>
      <x:c r="M171" s="8" t="str">
        <x:v>Netty, an asynchronous, event-driven network application framework, has a vulnerability in version 4.1.91.Final through 4.1.117.Final and 4.2.0.Alpha1 through 4.2.0.RC2. When a spe</x:v>
      </x:c>
      <x:c r="N171" s="17"/>
      <x:c r="O171" s="17"/>
    </x:row>
    <x:row r="172" ht="39.599998474121094" hidden="0" customHeight="1">
      <x:c r="A172" s="7" t="str">
        <x:v>SIAJ-0347</x:v>
      </x:c>
      <x:c r="B172" s="7" t="str">
        <x:v>SCA</x:v>
      </x:c>
      <x:c r="C172" s="7" t="str">
        <x:v>HIGH</x:v>
      </x:c>
      <x:c r="D172" s="8" t="str">
        <x:v>Dependencia io.netty:netty-handler-4.1.93.Final</x:v>
      </x:c>
      <x:c r="E172" s="7" t="str">
        <x:v>io.netty:netty-handler</x:v>
      </x:c>
      <x:c r="F172" s="7" t="str">
        <x:v>4.1.93.Final</x:v>
      </x:c>
      <x:c r="G172" s="7" t="str">
        <x:v>CWE-770</x:v>
      </x:c>
      <x:c r="H172" s="7" t="str">
        <x:v>CVE-2026-45416</x:v>
      </x:c>
      <x:c r="I172" s="7" t="n">
        <x:v>163</x:v>
      </x:c>
      <x:c r="J172" s="9" t="str">
        <x:v>PENDIENTE</x:v>
      </x:c>
      <x:c r="K172" s="10" t="n">
        <x:v>46522</x:v>
      </x:c>
      <x:c r="L172" s="7" t="str">
        <x:v>Avance 2027-05-15</x:v>
      </x:c>
      <x:c r="M172" s="8" t="str">
        <x:v>Netty is a network application framework for development of protocol servers and client s. In netty-handler versions through 4.1.134.Final, 4.2.x through 4.2.14.Final and 5.x throu</x:v>
      </x:c>
      <x:c r="N172" s="17"/>
      <x:c r="O172" s="17"/>
    </x:row>
    <x:row r="173" ht="39.599998474121094" hidden="0" customHeight="1">
      <x:c r="A173" s="7" t="str">
        <x:v>SIAJ-0349</x:v>
      </x:c>
      <x:c r="B173" s="7" t="str">
        <x:v>SCA</x:v>
      </x:c>
      <x:c r="C173" s="7" t="str">
        <x:v>HIGH</x:v>
      </x:c>
      <x:c r="D173" s="8" t="str">
        <x:v>Dependencia io.netty:netty-handler-4.1.93.Final</x:v>
      </x:c>
      <x:c r="E173" s="7" t="str">
        <x:v>io.netty:netty-handler</x:v>
      </x:c>
      <x:c r="F173" s="7" t="str">
        <x:v>4.1.93.Final</x:v>
      </x:c>
      <x:c r="G173" s="7" t="str">
        <x:v>CWE-347</x:v>
      </x:c>
      <x:c r="H173" s="7" t="str">
        <x:v>CVE-2026-50010</x:v>
      </x:c>
      <x:c r="I173" s="7" t="n">
        <x:v>164</x:v>
      </x:c>
      <x:c r="J173" s="9" t="str">
        <x:v>PENDIENTE</x:v>
      </x:c>
      <x:c r="K173" s="10" t="n">
        <x:v>46522</x:v>
      </x:c>
      <x:c r="L173" s="7" t="str">
        <x:v>Avance 2027-05-15</x:v>
      </x:c>
      <x:c r="M173" s="8" t="str">
        <x:v>Netty is a network application framework for development of protocol servers and client s. Prior to version 4.1.135.Final and 4.2.x prior to 4.2.15.Final, 'SimpleTrustManagerFactor</x:v>
      </x:c>
      <x:c r="N173" s="17"/>
      <x:c r="O173" s="17"/>
    </x:row>
    <x:row r="174" ht="39.599998474121094" hidden="0" customHeight="1">
      <x:c r="A174" s="7" t="str">
        <x:v>SIAJ-0228</x:v>
      </x:c>
      <x:c r="B174" s="7" t="str">
        <x:v>SCA</x:v>
      </x:c>
      <x:c r="C174" s="7" t="str">
        <x:v>HIGH</x:v>
      </x:c>
      <x:c r="D174" s="8" t="str">
        <x:v>Dependencia org.apache.tomcat.embed:tomcat-embed-core-10.1.49</x:v>
      </x:c>
      <x:c r="E174" s="7" t="str">
        <x:v>org.apache.tomcat.embed:tomcat-embed-core</x:v>
      </x:c>
      <x:c r="F174" s="7" t="str">
        <x:v>10.1.49</x:v>
      </x:c>
      <x:c r="G174" s="7" t="str">
        <x:v>CWE-444</x:v>
      </x:c>
      <x:c r="H174" s="7" t="str">
        <x:v>CVE-2026-24880</x:v>
      </x:c>
      <x:c r="I174" s="7" t="n">
        <x:v>120</x:v>
      </x:c>
      <x:c r="J174" s="9" t="str">
        <x:v>PENDIENTE</x:v>
      </x:c>
      <x:c r="K174" s="10" t="n">
        <x:v>46522</x:v>
      </x:c>
      <x:c r="L174" s="7" t="str">
        <x:v>Avance 2027-05-15</x:v>
      </x:c>
      <x:c r="M174" s="8" t="str">
        <x:v>Inconsistent Interpretation of HTTP Requests ('HTTP Request/Response Smuggling') vuln erability in Apache Tomcat via invalid chunk extension. This issue affects Apache Tomcat: from</x:v>
      </x:c>
      <x:c r="N174" s="17"/>
      <x:c r="O174" s="17"/>
    </x:row>
    <x:row r="175" ht="39.599998474121094" hidden="0" customHeight="1">
      <x:c r="A175" s="7" t="str">
        <x:v>SIAJ-0229</x:v>
      </x:c>
      <x:c r="B175" s="7" t="str">
        <x:v>SCA</x:v>
      </x:c>
      <x:c r="C175" s="7" t="str">
        <x:v>HIGH</x:v>
      </x:c>
      <x:c r="D175" s="8" t="str">
        <x:v>Dependencia org.apache.tomcat.embed:tomcat-embed-core-10.1.49</x:v>
      </x:c>
      <x:c r="E175" s="7" t="str">
        <x:v>org.apache.tomcat.embed:tomcat-embed-core</x:v>
      </x:c>
      <x:c r="F175" s="7" t="str">
        <x:v>10.1.49</x:v>
      </x:c>
      <x:c r="G175" s="7" t="str">
        <x:v>CWE-116</x:v>
      </x:c>
      <x:c r="H175" s="7" t="str">
        <x:v>CVE-2026-34483</x:v>
      </x:c>
      <x:c r="I175" s="7" t="n">
        <x:v>121</x:v>
      </x:c>
      <x:c r="J175" s="9" t="str">
        <x:v>PENDIENTE</x:v>
      </x:c>
      <x:c r="K175" s="10" t="n">
        <x:v>46522</x:v>
      </x:c>
      <x:c r="L175" s="7" t="str">
        <x:v>Avance 2027-05-15</x:v>
      </x:c>
      <x:c r="M175" s="8" t="str">
        <x:v>Improper Encoding or Escaping of Output vulnerability in the JsonAccessLogValve comp onent of Apache Tomcat. This issue affects Apache Tomcat: from 11.0.0-M1 through 11.0.20, from</x:v>
      </x:c>
      <x:c r="N175" s="17"/>
      <x:c r="O175" s="17"/>
    </x:row>
    <x:row r="176" ht="39.599998474121094" hidden="0" customHeight="1">
      <x:c r="A176" s="7" t="str">
        <x:v>SIAJ-0230</x:v>
      </x:c>
      <x:c r="B176" s="7" t="str">
        <x:v>SCA</x:v>
      </x:c>
      <x:c r="C176" s="7" t="str">
        <x:v>HIGH</x:v>
      </x:c>
      <x:c r="D176" s="8" t="str">
        <x:v>Dependencia org.apache.tomcat.embed:tomcat-embed-core-10.1.49</x:v>
      </x:c>
      <x:c r="E176" s="7" t="str">
        <x:v>org.apache.tomcat.embed:tomcat-embed-core</x:v>
      </x:c>
      <x:c r="F176" s="7" t="str">
        <x:v>10.1.49</x:v>
      </x:c>
      <x:c r="G176" s="7" t="str">
        <x:v>CWE-532</x:v>
      </x:c>
      <x:c r="H176" s="7" t="str">
        <x:v>CVE-2026-34487</x:v>
      </x:c>
      <x:c r="I176" s="7" t="n">
        <x:v>121</x:v>
      </x:c>
      <x:c r="J176" s="9" t="str">
        <x:v>PENDIENTE</x:v>
      </x:c>
      <x:c r="K176" s="10" t="n">
        <x:v>46522</x:v>
      </x:c>
      <x:c r="L176" s="7" t="str">
        <x:v>Avance 2027-05-15</x:v>
      </x:c>
      <x:c r="M176" s="8" t="str">
        <x:v>Insertion of Sensitive Information into Log File vulnerability in the cloud membership for c lustering component of Apache Tomcat exposed the Kubernetes bearer token. Affected vers</x:v>
      </x:c>
      <x:c r="N176" s="17"/>
      <x:c r="O176" s="17"/>
    </x:row>
    <x:row r="177" ht="39.599998474121094" hidden="0" customHeight="1">
      <x:c r="A177" s="7" t="str">
        <x:v>SIAJ-0231</x:v>
      </x:c>
      <x:c r="B177" s="7" t="str">
        <x:v>SCA</x:v>
      </x:c>
      <x:c r="C177" s="7" t="str">
        <x:v>HIGH</x:v>
      </x:c>
      <x:c r="D177" s="8" t="str">
        <x:v>Dependencia org.apache.tomcat.embed:tomcat-embed-core-10.1.49</x:v>
      </x:c>
      <x:c r="E177" s="7" t="str">
        <x:v>org.apache.tomcat.embed:tomcat-embed-core</x:v>
      </x:c>
      <x:c r="F177" s="7" t="str">
        <x:v>10.1.49</x:v>
      </x:c>
      <x:c r="G177" s="7" t="str">
        <x:v>CWE-770</x:v>
      </x:c>
      <x:c r="H177" s="7" t="str">
        <x:v>CVE-2026-41284</x:v>
      </x:c>
      <x:c r="I177" s="7" t="n">
        <x:v>122</x:v>
      </x:c>
      <x:c r="J177" s="9" t="str">
        <x:v>PENDIENTE</x:v>
      </x:c>
      <x:c r="K177" s="10" t="n">
        <x:v>46522</x:v>
      </x:c>
      <x:c r="L177" s="7" t="str">
        <x:v>Avance 2027-05-15</x:v>
      </x:c>
      <x:c r="M177" s="8" t="str">
        <x:v>Allocation of Resources Without Limits or Throttling vulnerability in Apache Tomcat. Apac he Tomcat versions 9.0.0.M1 through 9.0.117, 10.1.0-M1 through 10.1.54, and 11.0.0-M1 thro</x:v>
      </x:c>
      <x:c r="N177" s="17"/>
      <x:c r="O177" s="17"/>
    </x:row>
    <x:row r="178" ht="39.599998474121094" hidden="0" customHeight="1">
      <x:c r="A178" s="7" t="str">
        <x:v>SIAJ-0232</x:v>
      </x:c>
      <x:c r="B178" s="7" t="str">
        <x:v>SCA</x:v>
      </x:c>
      <x:c r="C178" s="7" t="str">
        <x:v>HIGH</x:v>
      </x:c>
      <x:c r="D178" s="8" t="str">
        <x:v>Dependencia org.apache.tomcat.embed:tomcat-embed-core-10.1.49</x:v>
      </x:c>
      <x:c r="E178" s="7" t="str">
        <x:v>org.apache.tomcat.embed:tomcat-embed-core</x:v>
      </x:c>
      <x:c r="F178" s="7" t="str">
        <x:v>10.1.49</x:v>
      </x:c>
      <x:c r="G178" s="7" t="str">
        <x:v>CWE-200</x:v>
      </x:c>
      <x:c r="H178" s="7" t="str">
        <x:v>CVE-2026-42498</x:v>
      </x:c>
      <x:c r="I178" s="7" t="n">
        <x:v>122</x:v>
      </x:c>
      <x:c r="J178" s="9" t="str">
        <x:v>PENDIENTE</x:v>
      </x:c>
      <x:c r="K178" s="10" t="n">
        <x:v>46553</x:v>
      </x:c>
      <x:c r="L178" s="7" t="str">
        <x:v>Avance 2027-06-15</x:v>
      </x:c>
      <x:c r="M178" s="8" t="str">
        <x:v>Exposure of HTTP Authentication Header to unexpected hosts during WebSocket authen tication vulnerability in Apache Tomcat. This issue affects Apache Tomcat versions 7.0.83 through</x:v>
      </x:c>
      <x:c r="N178" s="17"/>
      <x:c r="O178" s="17"/>
    </x:row>
    <x:row r="179" ht="39.599998474121094" hidden="0" customHeight="1">
      <x:c r="A179" s="7" t="str">
        <x:v>SIAJ-0233</x:v>
      </x:c>
      <x:c r="B179" s="7" t="str">
        <x:v>SCA</x:v>
      </x:c>
      <x:c r="C179" s="7" t="str">
        <x:v>HIGH</x:v>
      </x:c>
      <x:c r="D179" s="8" t="str">
        <x:v>Dependencia org.apache.tomcat.embed:tomcat-embed-core-10.1.49</x:v>
      </x:c>
      <x:c r="E179" s="7" t="str">
        <x:v>org.apache.tomcat.embed:tomcat-embed-core</x:v>
      </x:c>
      <x:c r="F179" s="7" t="str">
        <x:v>10.1.49</x:v>
      </x:c>
      <x:c r="G179" s="7" t="str">
        <x:v>CWE-178</x:v>
      </x:c>
      <x:c r="H179" s="7" t="str">
        <x:v>CVE-2026-43513</x:v>
      </x:c>
      <x:c r="I179" s="7" t="n">
        <x:v>122</x:v>
      </x:c>
      <x:c r="J179" s="9" t="str">
        <x:v>PENDIENTE</x:v>
      </x:c>
      <x:c r="K179" s="10" t="n">
        <x:v>46553</x:v>
      </x:c>
      <x:c r="L179" s="7" t="str">
        <x:v>Avance 2027-06-15</x:v>
      </x:c>
      <x:c r="M179" s="8" t="str">
        <x:v>Improper Handling of Case Sensitivity vulnerability in LockOutRealm in Apache Tomcat. T his issue affects Apache Tomcat: from 11.0.0-M1 through 11.0.21, from 10.1.0-M1 through 10.1</x:v>
      </x:c>
      <x:c r="N179" s="17"/>
      <x:c r="O179" s="17"/>
    </x:row>
    <x:row r="180" ht="39.599998474121094" hidden="0" customHeight="1">
      <x:c r="A180" s="7" t="str">
        <x:v>SIAJ-0261</x:v>
      </x:c>
      <x:c r="B180" s="7" t="str">
        <x:v>SCA</x:v>
      </x:c>
      <x:c r="C180" s="7" t="str">
        <x:v>HIGH</x:v>
      </x:c>
      <x:c r="D180" s="8" t="str">
        <x:v>Dependencia org.assertj:assertj-core-3.26.3</x:v>
      </x:c>
      <x:c r="E180" s="7" t="str">
        <x:v>org.assertj:assertj-core</x:v>
      </x:c>
      <x:c r="F180" s="7" t="str">
        <x:v>3.26.3</x:v>
      </x:c>
      <x:c r="G180" s="7" t="str">
        <x:v>CWE-611</x:v>
      </x:c>
      <x:c r="H180" s="7" t="str">
        <x:v>CVE-2026-24400</x:v>
      </x:c>
      <x:c r="I180" s="7" t="n">
        <x:v>133</x:v>
      </x:c>
      <x:c r="J180" s="9" t="str">
        <x:v>PENDIENTE</x:v>
      </x:c>
      <x:c r="K180" s="10" t="n">
        <x:v>46553</x:v>
      </x:c>
      <x:c r="L180" s="7" t="str">
        <x:v>Avance 2027-06-15</x:v>
      </x:c>
      <x:c r="M180" s="8" t="str">
        <x:v>AssertJ provides Fluent testing assertions for Java and the Java Virtual Machine (JVM). Starting in version 1.4.0 prior to 3.27.7 and 4.0.0-M1, an XML External Entity (XXE) vulnera</x:v>
      </x:c>
      <x:c r="N180" s="17"/>
      <x:c r="O180" s="17"/>
    </x:row>
    <x:row r="181" ht="39.599998474121094" hidden="0" customHeight="1">
      <x:c r="A181" s="7" t="str">
        <x:v>SIAJ-0302</x:v>
      </x:c>
      <x:c r="B181" s="7" t="str">
        <x:v>SCA</x:v>
      </x:c>
      <x:c r="C181" s="7" t="str">
        <x:v>HIGH</x:v>
      </x:c>
      <x:c r="D181" s="8" t="str">
        <x:v>Dependencia org.asynchttpclient:async-http-client-2.10.4</x:v>
      </x:c>
      <x:c r="E181" s="7" t="str">
        <x:v>org.asynchttpclient:async-http-client</x:v>
      </x:c>
      <x:c r="F181" s="7" t="str">
        <x:v>2.10.4</x:v>
      </x:c>
      <x:c r="G181" s="7" t="str">
        <x:v>CWE-200</x:v>
      </x:c>
      <x:c r="H181" s="7" t="str">
        <x:v>CVE-2026-45300</x:v>
      </x:c>
      <x:c r="I181" s="7" t="n">
        <x:v>147</x:v>
      </x:c>
      <x:c r="J181" s="9" t="str">
        <x:v>PENDIENTE</x:v>
      </x:c>
      <x:c r="K181" s="10" t="n">
        <x:v>46553</x:v>
      </x:c>
      <x:c r="L181" s="7" t="str">
        <x:v>Avance 2027-06-15</x:v>
      </x:c>
      <x:c r="M181" s="8" t="str">
        <x:v>async-http-client leaks `Cookie` headers to cross-origin redirect targets. When following a redirect across a security boundary (different origin, or HTTPS-HTTP downgrade), the `pr</x:v>
      </x:c>
      <x:c r="N181" s="17"/>
      <x:c r="O181" s="17"/>
    </x:row>
    <x:row r="182" ht="26.399999618530273" hidden="0" customHeight="1">
      <x:c r="A182" s="7" t="str">
        <x:v>SIAJ-0262</x:v>
      </x:c>
      <x:c r="B182" s="7" t="str">
        <x:v>SCA</x:v>
      </x:c>
      <x:c r="C182" s="7" t="str">
        <x:v>HIGH</x:v>
      </x:c>
      <x:c r="D182" s="8" t="str">
        <x:v>Dependencia org.bitbucket.b_c:jose4j-0.7.0</x:v>
      </x:c>
      <x:c r="E182" s="7" t="str">
        <x:v>org.bitbucket.b_c:jose4j</x:v>
      </x:c>
      <x:c r="F182" s="7" t="str">
        <x:v>0.7.0</x:v>
      </x:c>
      <x:c r="G182" s="7" t="str">
        <x:v>CWE-331</x:v>
      </x:c>
      <x:c r="H182" s="7" t="str">
        <x:v>CVE-2023-31582</x:v>
      </x:c>
      <x:c r="I182" s="7" t="n">
        <x:v>133</x:v>
      </x:c>
      <x:c r="J182" s="9" t="str">
        <x:v>PENDIENTE</x:v>
      </x:c>
      <x:c r="K182" s="10" t="n">
        <x:v>46553</x:v>
      </x:c>
      <x:c r="L182" s="7" t="str">
        <x:v>Avance 2027-06-15</x:v>
      </x:c>
      <x:c r="M182" s="8" t="str">
        <x:v>The package org.bitbucket.b_c:jose4j versions prior to v0.9.3 allows attackers to set a lo w 'iterationCount' of 1000 or less.</x:v>
      </x:c>
      <x:c r="N182" s="17"/>
      <x:c r="O182" s="17"/>
    </x:row>
    <x:row r="183" ht="39.599998474121094" hidden="0" customHeight="1">
      <x:c r="A183" s="7" t="str">
        <x:v>SIAJ-0263</x:v>
      </x:c>
      <x:c r="B183" s="7" t="str">
        <x:v>SCA</x:v>
      </x:c>
      <x:c r="C183" s="7" t="str">
        <x:v>HIGH</x:v>
      </x:c>
      <x:c r="D183" s="8" t="str">
        <x:v>Dependencia org.bitbucket.b_c:jose4j-0.7.0</x:v>
      </x:c>
      <x:c r="E183" s="7" t="str">
        <x:v>org.bitbucket.b_c:jose4j</x:v>
      </x:c>
      <x:c r="F183" s="7" t="str">
        <x:v>0.7.0</x:v>
      </x:c>
      <x:c r="G183" s="7" t="str">
        <x:v>CWE-400</x:v>
      </x:c>
      <x:c r="H183" s="7" t="str">
        <x:v>CVE-2023-51775</x:v>
      </x:c>
      <x:c r="I183" s="7" t="n">
        <x:v>133</x:v>
      </x:c>
      <x:c r="J183" s="9" t="str">
        <x:v>PENDIENTE</x:v>
      </x:c>
      <x:c r="K183" s="10" t="n">
        <x:v>46553</x:v>
      </x:c>
      <x:c r="L183" s="7" t="str">
        <x:v>Avance 2027-06-15</x:v>
      </x:c>
      <x:c r="M183" s="8" t="str">
        <x:v>The jose4j component prior to 0.9.4 for Java allows attackers to cause a denial of service (CPU consumption) via a large p2c (aka PBES2 Count) value.</x:v>
      </x:c>
      <x:c r="N183" s="17"/>
      <x:c r="O183" s="17"/>
    </x:row>
    <x:row r="184" ht="39.599998474121094" hidden="0" customHeight="1">
      <x:c r="A184" s="7" t="str">
        <x:v>SIAJ-0264</x:v>
      </x:c>
      <x:c r="B184" s="7" t="str">
        <x:v>SCA</x:v>
      </x:c>
      <x:c r="C184" s="7" t="str">
        <x:v>HIGH</x:v>
      </x:c>
      <x:c r="D184" s="8" t="str">
        <x:v>Dependencia org.bitbucket.b_c:jose4j-0.7.0</x:v>
      </x:c>
      <x:c r="E184" s="7" t="str">
        <x:v>org.bitbucket.b_c:jose4j</x:v>
      </x:c>
      <x:c r="F184" s="7" t="str">
        <x:v>0.7.0</x:v>
      </x:c>
      <x:c r="G184" s="7" t="str">
        <x:v>CWE-1259</x:v>
      </x:c>
      <x:c r="H184" s="7" t="str">
        <x:v>CVE-2024-29371</x:v>
      </x:c>
      <x:c r="I184" s="7" t="n">
        <x:v>134</x:v>
      </x:c>
      <x:c r="J184" s="9" t="str">
        <x:v>PENDIENTE</x:v>
      </x:c>
      <x:c r="K184" s="10" t="n">
        <x:v>46553</x:v>
      </x:c>
      <x:c r="L184" s="7" t="str">
        <x:v>Avance 2027-06-15</x:v>
      </x:c>
      <x:c r="M184" s="8" t="str">
        <x:v>In jose4j versions prior to 0.9.6, an attacker can cause a Denial-of-Service (DoS) conditio n by crafting a malicious JSON Web Encryption (JWE) token with an exceptionally high com</x:v>
      </x:c>
      <x:c r="N184" s="17"/>
      <x:c r="O184" s="17"/>
    </x:row>
    <x:row r="185" ht="39.599998474121094" hidden="0" customHeight="1">
      <x:c r="A185" s="7" t="str">
        <x:v>SIAJ-0265</x:v>
      </x:c>
      <x:c r="B185" s="7" t="str">
        <x:v>SCA</x:v>
      </x:c>
      <x:c r="C185" s="7" t="str">
        <x:v>HIGH</x:v>
      </x:c>
      <x:c r="D185" s="8" t="str">
        <x:v>Dependencia org.bitbucket.b_c:jose4j-0.7.0</x:v>
      </x:c>
      <x:c r="E185" s="7" t="str">
        <x:v>org.bitbucket.b_c:jose4j</x:v>
      </x:c>
      <x:c r="F185" s="7" t="str">
        <x:v>0.7.0</x:v>
      </x:c>
      <x:c r="G185" s="7" t="str">
        <x:v>CWE-327</x:v>
      </x:c>
      <x:c r="H185" s="7" t="str">
        <x:v>Cx8bc13cba-30bf</x:v>
      </x:c>
      <x:c r="I185" s="7" t="n">
        <x:v>134</x:v>
      </x:c>
      <x:c r="J185" s="9" t="str">
        <x:v>PENDIENTE</x:v>
      </x:c>
      <x:c r="K185" s="10" t="n">
        <x:v>46553</x:v>
      </x:c>
      <x:c r="L185" s="7" t="str">
        <x:v>Avance 2027-06-15</x:v>
      </x:c>
      <x:c r="M185" s="8" t="str">
        <x:v>RSA1_5 in jose4j is susceptible to chosen ciphertext attacks. The attack allows to decrypt "RSA1_5" or "RSA_OAEP" encrypted ciphertexts. It may be feasible to sign with affected ke</x:v>
      </x:c>
      <x:c r="N185" s="17"/>
      <x:c r="O185" s="17"/>
    </x:row>
    <x:row r="186" ht="39.599998474121094" hidden="0" customHeight="1">
      <x:c r="A186" s="7" t="str">
        <x:v>SIAJ-0244</x:v>
      </x:c>
      <x:c r="B186" s="7" t="str">
        <x:v>SCA</x:v>
      </x:c>
      <x:c r="C186" s="7" t="str">
        <x:v>HIGH</x:v>
      </x:c>
      <x:c r="D186" s="8" t="str">
        <x:v>Dependencia org.bouncycastle:bcprov-jdk18on-1.78</x:v>
      </x:c>
      <x:c r="E186" s="7" t="str">
        <x:v>org.bouncycastle:bcprov-jdk18on</x:v>
      </x:c>
      <x:c r="F186" s="7" t="str">
        <x:v>1.78</x:v>
      </x:c>
      <x:c r="G186" s="7" t="str">
        <x:v>CWE-385</x:v>
      </x:c>
      <x:c r="H186" s="7" t="str">
        <x:v>CVE-2026-5598</x:v>
      </x:c>
      <x:c r="I186" s="7" t="n">
        <x:v>126</x:v>
      </x:c>
      <x:c r="J186" s="9" t="str">
        <x:v>PENDIENTE</x:v>
      </x:c>
      <x:c r="K186" s="10" t="n">
        <x:v>46553</x:v>
      </x:c>
      <x:c r="L186" s="7" t="str">
        <x:v>Avance 2027-06-15</x:v>
      </x:c>
      <x:c r="M186" s="8" t="str">
        <x:v>Covert timing channel vulnerability in Legion of the Bouncy Castle Inc. BC-JAVA core on all (core modules). Non-constant time comparisons risk private key leakage in FrodoKEM. This</x:v>
      </x:c>
      <x:c r="N186" s="17"/>
      <x:c r="O186" s="17"/>
    </x:row>
    <x:row r="187" ht="39.599998474121094" hidden="0" customHeight="1">
      <x:c r="A187" s="7" t="str">
        <x:v>SIAJ-0259</x:v>
      </x:c>
      <x:c r="B187" s="7" t="str">
        <x:v>SCA</x:v>
      </x:c>
      <x:c r="C187" s="7" t="str">
        <x:v>HIGH</x:v>
      </x:c>
      <x:c r="D187" s="8" t="str">
        <x:v>Dependencia org.postgresql:postgresql-42.7.8</x:v>
      </x:c>
      <x:c r="E187" s="7" t="str">
        <x:v>org.postgresql:postgresql</x:v>
      </x:c>
      <x:c r="F187" s="7" t="str">
        <x:v>42.7.8</x:v>
      </x:c>
      <x:c r="G187" s="7" t="str">
        <x:v>CWE-636</x:v>
      </x:c>
      <x:c r="H187" s="7" t="str">
        <x:v>CVE-2026-54291</x:v>
      </x:c>
      <x:c r="I187" s="7" t="n">
        <x:v>132</x:v>
      </x:c>
      <x:c r="J187" s="9" t="str">
        <x:v>PENDIENTE</x:v>
      </x:c>
      <x:c r="K187" s="10" t="n">
        <x:v>46553</x:v>
      </x:c>
      <x:c r="L187" s="7" t="str">
        <x:v>Avance 2027-06-15</x:v>
      </x:c>
      <x:c r="M187" s="8" t="str">
        <x:v>pgjdbc is an open source postgresql JDBC Driver. In releases 42.7.4 through 42.7.11, chan nelBinding=require connections can be silently downgraded from SCRAM-SHA-256-PLUS with cha</x:v>
      </x:c>
      <x:c r="N187" s="17"/>
      <x:c r="O187" s="17"/>
    </x:row>
    <x:row r="188" ht="39.599998474121094" hidden="0" customHeight="1">
      <x:c r="A188" s="7" t="str">
        <x:v>SIAJ-0260</x:v>
      </x:c>
      <x:c r="B188" s="7" t="str">
        <x:v>SCA</x:v>
      </x:c>
      <x:c r="C188" s="7" t="str">
        <x:v>HIGH</x:v>
      </x:c>
      <x:c r="D188" s="8" t="str">
        <x:v>Dependencia org.postgresql:postgresql-42.7.8</x:v>
      </x:c>
      <x:c r="E188" s="7" t="str">
        <x:v>org.postgresql:postgresql</x:v>
      </x:c>
      <x:c r="F188" s="7" t="str">
        <x:v>42.7.8</x:v>
      </x:c>
      <x:c r="G188" s="7" t="str">
        <x:v>CWE-770</x:v>
      </x:c>
      <x:c r="H188" s="7" t="str">
        <x:v>CVE-2026-42198</x:v>
      </x:c>
      <x:c r="I188" s="7" t="n">
        <x:v>132</x:v>
      </x:c>
      <x:c r="J188" s="9" t="str">
        <x:v>PENDIENTE</x:v>
      </x:c>
      <x:c r="K188" s="10" t="n">
        <x:v>46553</x:v>
      </x:c>
      <x:c r="L188" s="7" t="str">
        <x:v>Avance 2027-06-15</x:v>
      </x:c>
      <x:c r="M188" s="8" t="str">
        <x:v>pgjdbc is an open source postgresql JDBC Driver. From version 42.2.0 prior to version 4 2.7.11, pgjdbc is vulnerable to a client-side denial of service during SCRAM-SHA-256 authent</x:v>
      </x:c>
      <x:c r="N188" s="17"/>
      <x:c r="O188" s="17"/>
    </x:row>
    <x:row r="189" ht="39.599998474121094" hidden="0" customHeight="1">
      <x:c r="A189" s="7" t="str">
        <x:v>SIAJ-0353</x:v>
      </x:c>
      <x:c r="B189" s="7" t="str">
        <x:v>SCA</x:v>
      </x:c>
      <x:c r="C189" s="7" t="str">
        <x:v>HIGH</x:v>
      </x:c>
      <x:c r="D189" s="8" t="str">
        <x:v>Dependencia org.springframework:spring-core-6.2.14</x:v>
      </x:c>
      <x:c r="E189" s="7" t="str">
        <x:v>org.springframework:spring-core</x:v>
      </x:c>
      <x:c r="F189" s="7" t="str">
        <x:v>6.2.14</x:v>
      </x:c>
      <x:c r="G189" s="7" t="str">
        <x:v>CWE-770</x:v>
      </x:c>
      <x:c r="H189" s="7" t="str">
        <x:v>CVE-2026-41851</x:v>
      </x:c>
      <x:c r="I189" s="7" t="n">
        <x:v>166</x:v>
      </x:c>
      <x:c r="J189" s="9" t="str">
        <x:v>PENDIENTE</x:v>
      </x:c>
      <x:c r="K189" s="10" t="n">
        <x:v>46553</x:v>
      </x:c>
      <x:c r="L189" s="7" t="str">
        <x:v>Avance 2027-06-15</x:v>
      </x:c>
      <x:c r="M189" s="8" t="str">
        <x:v>Applications which accept user-supplied Spring Expression Language (SpEL) expressions may be vulnerable to a Denial of Service (DoS) attack if the evaluation of a SpEL expression t</x:v>
      </x:c>
      <x:c r="N189" s="17"/>
      <x:c r="O189" s="17"/>
    </x:row>
    <x:row r="190" ht="39.599998474121094" hidden="0" customHeight="1">
      <x:c r="A190" s="7" t="str">
        <x:v>SIAJ-0354</x:v>
      </x:c>
      <x:c r="B190" s="7" t="str">
        <x:v>SCA</x:v>
      </x:c>
      <x:c r="C190" s="7" t="str">
        <x:v>HIGH</x:v>
      </x:c>
      <x:c r="D190" s="8" t="str">
        <x:v>Dependencia org.springframework:spring-core-6.2.14</x:v>
      </x:c>
      <x:c r="E190" s="7" t="str">
        <x:v>org.springframework:spring-core</x:v>
      </x:c>
      <x:c r="F190" s="7" t="str">
        <x:v>6.2.14</x:v>
      </x:c>
      <x:c r="G190" s="7" t="str">
        <x:v>CWE-1333</x:v>
      </x:c>
      <x:c r="H190" s="7" t="str">
        <x:v>CVE-2026-41848</x:v>
      </x:c>
      <x:c r="I190" s="7" t="n">
        <x:v>166</x:v>
      </x:c>
      <x:c r="J190" s="9" t="str">
        <x:v>PENDIENTE</x:v>
      </x:c>
      <x:c r="K190" s="10" t="n">
        <x:v>46553</x:v>
      </x:c>
      <x:c r="L190" s="7" t="str">
        <x:v>Avance 2027-06-15</x:v>
      </x:c>
      <x:c r="M190" s="8" t="str">
        <x:v>Applications may be vulnerable to a Regular Expression Denial of Service (ReDoS) attack if an attacker is able to provide a pattern which is then directly or indirectly supplied to</x:v>
      </x:c>
      <x:c r="N190" s="17"/>
      <x:c r="O190" s="17"/>
    </x:row>
    <x:row r="191" ht="39.599998474121094" hidden="0" customHeight="1">
      <x:c r="A191" s="7" t="str">
        <x:v>SIAJ-0351</x:v>
      </x:c>
      <x:c r="B191" s="7" t="str">
        <x:v>SCA</x:v>
      </x:c>
      <x:c r="C191" s="7" t="str">
        <x:v>HIGH</x:v>
      </x:c>
      <x:c r="D191" s="8" t="str">
        <x:v>Dependencia org.springframework:spring-expression-6.2.14</x:v>
      </x:c>
      <x:c r="E191" s="7" t="str">
        <x:v>org.springframework:spring-expression</x:v>
      </x:c>
      <x:c r="F191" s="7" t="str">
        <x:v>6.2.14</x:v>
      </x:c>
      <x:c r="G191" s="7" t="str">
        <x:v>CWE-407</x:v>
      </x:c>
      <x:c r="H191" s="7" t="str">
        <x:v>CVE-2026-41850</x:v>
      </x:c>
      <x:c r="I191" s="7" t="n">
        <x:v>165</x:v>
      </x:c>
      <x:c r="J191" s="9" t="str">
        <x:v>PENDIENTE</x:v>
      </x:c>
      <x:c r="K191" s="10" t="n">
        <x:v>46553</x:v>
      </x:c>
      <x:c r="L191" s="7" t="str">
        <x:v>Avance 2027-06-15</x:v>
      </x:c>
      <x:c r="M191" s="8" t="str">
        <x:v>Applications that evaluate user-supplied Spring Expression Language (SpEL) expressions are vulnerable to an Algorithmic Denial-of-Service (DoS). By providing a specially crafted ex</x:v>
      </x:c>
      <x:c r="N191" s="17"/>
      <x:c r="O191" s="17"/>
    </x:row>
    <x:row r="192" ht="39.599998474121094" hidden="0" customHeight="1">
      <x:c r="A192" s="7" t="str">
        <x:v>SIAJ-0249</x:v>
      </x:c>
      <x:c r="B192" s="7" t="str">
        <x:v>SCA</x:v>
      </x:c>
      <x:c r="C192" s="7" t="str">
        <x:v>HIGH</x:v>
      </x:c>
      <x:c r="D192" s="8" t="str">
        <x:v>Dependencia org.springframework:spring-webmvc-6.2.14</x:v>
      </x:c>
      <x:c r="E192" s="7" t="str">
        <x:v>org.springframework:spring-webmvc</x:v>
      </x:c>
      <x:c r="F192" s="7" t="str">
        <x:v>6.2.14</x:v>
      </x:c>
      <x:c r="G192" s="7" t="str">
        <x:v>CWE-400</x:v>
      </x:c>
      <x:c r="H192" s="7" t="str">
        <x:v>CVE-2026-41842</x:v>
      </x:c>
      <x:c r="I192" s="7" t="n">
        <x:v>128</x:v>
      </x:c>
      <x:c r="J192" s="9" t="str">
        <x:v>PENDIENTE</x:v>
      </x:c>
      <x:c r="K192" s="10" t="n">
        <x:v>46553</x:v>
      </x:c>
      <x:c r="L192" s="7" t="str">
        <x:v>Avance 2027-06-15</x:v>
      </x:c>
      <x:c r="M192" s="8" t="str">
        <x:v>Spring MVC and WebFlux applications are vulnerable to Denial of Service (DoS) attacks when resolving static resources. Affected are all versions of 5.3.x 6.1.x prior to 6.2.19 and</x:v>
      </x:c>
      <x:c r="N192" s="17"/>
      <x:c r="O192" s="17"/>
    </x:row>
    <x:row r="193" ht="39.599998474121094" hidden="0" customHeight="1">
      <x:c r="A193" s="7" t="str">
        <x:v>SIAJ-0248</x:v>
      </x:c>
      <x:c r="B193" s="7" t="str">
        <x:v>SCA</x:v>
      </x:c>
      <x:c r="C193" s="7" t="str">
        <x:v>HIGH</x:v>
      </x:c>
      <x:c r="D193" s="8" t="str">
        <x:v>Dependencia org.springframework:spring-websocket-6.2.14</x:v>
      </x:c>
      <x:c r="E193" s="7" t="str">
        <x:v>org.springframework:spring-websocket</x:v>
      </x:c>
      <x:c r="F193" s="7" t="str">
        <x:v>6.2.14</x:v>
      </x:c>
      <x:c r="G193" s="7" t="str">
        <x:v>CWE-330</x:v>
      </x:c>
      <x:c r="H193" s="7" t="str">
        <x:v>CVE-2026-41838</x:v>
      </x:c>
      <x:c r="I193" s="7" t="n">
        <x:v>128</x:v>
      </x:c>
      <x:c r="J193" s="9" t="str">
        <x:v>PENDIENTE</x:v>
      </x:c>
      <x:c r="K193" s="10" t="n">
        <x:v>46553</x:v>
      </x:c>
      <x:c r="L193" s="7" t="str">
        <x:v>Avance 2027-06-15</x:v>
      </x:c>
      <x:c r="M193" s="8" t="str">
        <x:v>IDs for WebSocket sessions in the spring-websocket module are not cryptographically un predictable, which may be possible to exploit in combination with inadequate authorization ru</x:v>
      </x:c>
      <x:c r="N193" s="17"/>
      <x:c r="O193" s="17"/>
    </x:row>
    <x:row r="194" ht="39.599998474121094" hidden="0" customHeight="1">
      <x:c r="A194" s="7" t="str">
        <x:v>SIAJ-0341</x:v>
      </x:c>
      <x:c r="B194" s="7" t="str">
        <x:v>SCA</x:v>
      </x:c>
      <x:c r="C194" s="7" t="str">
        <x:v>HIGH</x:v>
      </x:c>
      <x:c r="D194" s="8" t="str">
        <x:v>Dependencia org.springframework.boot:spring-boot-3.4.12</x:v>
      </x:c>
      <x:c r="E194" s="7" t="str">
        <x:v>org.springframework.boot:spring-boot</x:v>
      </x:c>
      <x:c r="F194" s="7" t="str">
        <x:v>3.4.12</x:v>
      </x:c>
      <x:c r="G194" s="7" t="str">
        <x:v>CWE-330</x:v>
      </x:c>
      <x:c r="H194" s="7" t="str">
        <x:v>CVE-2026-40975</x:v>
      </x:c>
      <x:c r="I194" s="7" t="n">
        <x:v>161</x:v>
      </x:c>
      <x:c r="J194" s="9" t="str">
        <x:v>PENDIENTE</x:v>
      </x:c>
      <x:c r="K194" s="10" t="n">
        <x:v>46553</x:v>
      </x:c>
      <x:c r="L194" s="7" t="str">
        <x:v>Avance 2027-06-15</x:v>
      </x:c>
      <x:c r="M194" s="8" t="str">
        <x:v>Values produced by ${random.value} are not suitable for use as secrets. ${random.uuid} i s not affected. ${random.int} and ${random.long} should never be used for secrets as they a</x:v>
      </x:c>
      <x:c r="N194" s="17"/>
      <x:c r="O194" s="17"/>
    </x:row>
    <x:row r="195" ht="39.599998474121094" hidden="0" customHeight="1">
      <x:c r="A195" s="7" t="str">
        <x:v>SIAJ-0342</x:v>
      </x:c>
      <x:c r="B195" s="7" t="str">
        <x:v>SCA</x:v>
      </x:c>
      <x:c r="C195" s="7" t="str">
        <x:v>HIGH</x:v>
      </x:c>
      <x:c r="D195" s="8" t="str">
        <x:v>Dependencia org.springframework.boot:spring-boot-3.4.12</x:v>
      </x:c>
      <x:c r="E195" s="7" t="str">
        <x:v>org.springframework.boot:spring-boot</x:v>
      </x:c>
      <x:c r="F195" s="7" t="str">
        <x:v>3.4.12</x:v>
      </x:c>
      <x:c r="G195" s="7" t="str">
        <x:v>CWE-377</x:v>
      </x:c>
      <x:c r="H195" s="7" t="str">
        <x:v>CVE-2026-40973</x:v>
      </x:c>
      <x:c r="I195" s="7" t="n">
        <x:v>161</x:v>
      </x:c>
      <x:c r="J195" s="9" t="str">
        <x:v>PENDIENTE</x:v>
      </x:c>
      <x:c r="K195" s="10" t="n">
        <x:v>46553</x:v>
      </x:c>
      <x:c r="L195" s="7" t="str">
        <x:v>Avance 2027-06-15</x:v>
      </x:c>
      <x:c r="M195" s="8" t="str">
        <x:v>A local attacker on the same host as the application may be able to take control of the dir ectory used by `ApplicationTemp`. When `server.servlet.session.persistent` is set to `tr</x:v>
      </x:c>
      <x:c r="N195" s="17"/>
      <x:c r="O195" s="17"/>
    </x:row>
    <x:row r="196" ht="39.599998474121094" hidden="0" customHeight="1">
      <x:c r="A196" s="7" t="str">
        <x:v>SIAJ-0243</x:v>
      </x:c>
      <x:c r="B196" s="7" t="str">
        <x:v>SCA</x:v>
      </x:c>
      <x:c r="C196" s="7" t="str">
        <x:v>HIGH</x:v>
      </x:c>
      <x:c r="D196" s="8" t="str">
        <x:v>Dependencia org.springframework.boot:spring-boot-devtools-3.4.12</x:v>
      </x:c>
      <x:c r="E196" s="7" t="str">
        <x:v>org.springframework.boot:spring-boot-devtools</x:v>
      </x:c>
      <x:c r="F196" s="7" t="str">
        <x:v>3.4.12</x:v>
      </x:c>
      <x:c r="G196" s="7" t="str">
        <x:v>CWE-208</x:v>
      </x:c>
      <x:c r="H196" s="7" t="str">
        <x:v>CVE-2026-40972</x:v>
      </x:c>
      <x:c r="I196" s="7" t="n">
        <x:v>126</x:v>
      </x:c>
      <x:c r="J196" s="9" t="str">
        <x:v>PENDIENTE</x:v>
      </x:c>
      <x:c r="K196" s="10" t="n">
        <x:v>46583</x:v>
      </x:c>
      <x:c r="L196" s="7" t="str">
        <x:v>Avance 2027-07-15</x:v>
      </x:c>
      <x:c r="M196" s="8" t="str">
        <x:v>An attacker on the same network as the remote application may be able to utilize a timin g attack to discover information about the remote secret. In extreme circumstances this cou</x:v>
      </x:c>
      <x:c r="N196" s="17"/>
      <x:c r="O196" s="17"/>
    </x:row>
    <x:row r="197" ht="39.599998474121094" hidden="0" customHeight="1">
      <x:c r="A197" s="7" t="str">
        <x:v>SIAJ-0317</x:v>
      </x:c>
      <x:c r="B197" s="7" t="str">
        <x:v>SCA</x:v>
      </x:c>
      <x:c r="C197" s="7" t="str">
        <x:v>HIGH</x:v>
      </x:c>
      <x:c r="D197" s="8" t="str">
        <x:v>Dependencia org.springframework.data:spring-data-commons-3.4.12</x:v>
      </x:c>
      <x:c r="E197" s="7" t="str">
        <x:v>org.springframework.data:spring-data-commons</x:v>
      </x:c>
      <x:c r="F197" s="7" t="str">
        <x:v>3.4.12</x:v>
      </x:c>
      <x:c r="G197" s="7" t="str">
        <x:v>CWE-770</x:v>
      </x:c>
      <x:c r="H197" s="7" t="str">
        <x:v>CVE-2026-41716</x:v>
      </x:c>
      <x:c r="I197" s="7" t="n">
        <x:v>152</x:v>
      </x:c>
      <x:c r="J197" s="9" t="str">
        <x:v>PENDIENTE</x:v>
      </x:c>
      <x:c r="K197" s="10" t="n">
        <x:v>46583</x:v>
      </x:c>
      <x:c r="L197" s="7" t="str">
        <x:v>Avance 2027-07-15</x:v>
      </x:c>
      <x:c r="M197" s="8" t="str">
        <x:v>Spring Data's internal property-lookup cache accepts and permanently retains attacker-s upplied strings as cache keys, allowing heap exhaustion through repeated requests. Affected</x:v>
      </x:c>
      <x:c r="N197" s="17"/>
      <x:c r="O197" s="17"/>
    </x:row>
    <x:row r="198" ht="39.599998474121094" hidden="0" customHeight="1">
      <x:c r="A198" s="7" t="str">
        <x:v>SIAJ-0318</x:v>
      </x:c>
      <x:c r="B198" s="7" t="str">
        <x:v>SCA</x:v>
      </x:c>
      <x:c r="C198" s="7" t="str">
        <x:v>HIGH</x:v>
      </x:c>
      <x:c r="D198" s="8" t="str">
        <x:v>Dependencia org.springframework.data:spring-data-commons-3.4.12</x:v>
      </x:c>
      <x:c r="E198" s="7" t="str">
        <x:v>org.springframework.data:spring-data-commons</x:v>
      </x:c>
      <x:c r="F198" s="7" t="str">
        <x:v>3.4.12</x:v>
      </x:c>
      <x:c r="G198" s="7" t="str">
        <x:v>CWE-400</x:v>
      </x:c>
      <x:c r="H198" s="7" t="str">
        <x:v>CVE-2026-41695</x:v>
      </x:c>
      <x:c r="I198" s="7" t="n">
        <x:v>153</x:v>
      </x:c>
      <x:c r="J198" s="9" t="str">
        <x:v>PENDIENTE</x:v>
      </x:c>
      <x:c r="K198" s="10" t="n">
        <x:v>46583</x:v>
      </x:c>
      <x:c r="L198" s="7" t="str">
        <x:v>Avance 2027-07-15</x:v>
      </x:c>
      <x:c r="M198" s="8" t="str">
        <x:v>Spring Data Commons applications may be vulnerable to denial of service through resour ce exhaustion when attacker-controlled property path strings are passed to "MappingContext" p</x:v>
      </x:c>
      <x:c r="N198" s="17"/>
      <x:c r="O198" s="17"/>
    </x:row>
    <x:row r="199" ht="39.599998474121094" hidden="0" customHeight="1">
      <x:c r="A199" s="7" t="str">
        <x:v>SIAJ-0301</x:v>
      </x:c>
      <x:c r="B199" s="7" t="str">
        <x:v>SCA</x:v>
      </x:c>
      <x:c r="C199" s="7" t="str">
        <x:v>HIGH</x:v>
      </x:c>
      <x:c r="D199" s="8" t="str">
        <x:v>Dependencia org.springframework.security:spring-security-config-6.4.13</x:v>
      </x:c>
      <x:c r="E199" s="7" t="str">
        <x:v>org.springframework.security:spring-security-config</x:v>
      </x:c>
      <x:c r="F199" s="7" t="str">
        <x:v>6.4.13</x:v>
      </x:c>
      <x:c r="G199" s="7" t="str">
        <x:v>CWE-287</x:v>
      </x:c>
      <x:c r="H199" s="7" t="str">
        <x:v>CVE-2026-47838</x:v>
      </x:c>
      <x:c r="I199" s="7" t="n">
        <x:v>147</x:v>
      </x:c>
      <x:c r="J199" s="9" t="str">
        <x:v>PENDIENTE</x:v>
      </x:c>
      <x:c r="K199" s="10" t="n">
        <x:v>46583</x:v>
      </x:c>
      <x:c r="L199" s="7" t="str">
        <x:v>Avance 2027-07-15</x:v>
      </x:c>
      <x:c r="M199" s="8" t="str">
        <x:v>SubjectDnX509PrincipalExtractor does not correctly handle certain malformed X.509 cer tificate CN values, which can lead to reading the wrong value for the username. In a carefully</x:v>
      </x:c>
      <x:c r="N199" s="17"/>
      <x:c r="O199" s="17"/>
    </x:row>
    <x:row r="200" ht="39.599998474121094" hidden="0" customHeight="1">
      <x:c r="A200" s="7" t="str">
        <x:v>SIAJ-0293</x:v>
      </x:c>
      <x:c r="B200" s="7" t="str">
        <x:v>SCA</x:v>
      </x:c>
      <x:c r="C200" s="7" t="str">
        <x:v>HIGH</x:v>
      </x:c>
      <x:c r="D200" s="8" t="str">
        <x:v>Dependencia org.springframework.security:spring-security-web-6.4.13</x:v>
      </x:c>
      <x:c r="E200" s="7" t="str">
        <x:v>org.springframework.security:spring-security-web</x:v>
      </x:c>
      <x:c r="F200" s="7" t="str">
        <x:v>6.4.13</x:v>
      </x:c>
      <x:c r="G200" s="7" t="str">
        <x:v>CWE-287</x:v>
      </x:c>
      <x:c r="H200" s="7" t="str">
        <x:v>CVE-2026-47838</x:v>
      </x:c>
      <x:c r="I200" s="7" t="n">
        <x:v>143</x:v>
      </x:c>
      <x:c r="J200" s="9" t="str">
        <x:v>PENDIENTE</x:v>
      </x:c>
      <x:c r="K200" s="10" t="n">
        <x:v>46583</x:v>
      </x:c>
      <x:c r="L200" s="7" t="str">
        <x:v>Avance 2027-07-15</x:v>
      </x:c>
      <x:c r="M200" s="8" t="str">
        <x:v>SubjectDnX509PrincipalExtractor does not correctly handle certain malformed X.509 cer tificate CN values, which can lead to reading the wrong value for the username. In a carefully</x:v>
      </x:c>
      <x:c r="N200" s="17"/>
      <x:c r="O200" s="17"/>
    </x:row>
    <x:row r="201" ht="39.599998474121094" hidden="0" customHeight="1">
      <x:c r="A201" s="7" t="str">
        <x:v>SIAJ-0268</x:v>
      </x:c>
      <x:c r="B201" s="7" t="str">
        <x:v>SCA</x:v>
      </x:c>
      <x:c r="C201" s="7" t="str">
        <x:v>HIGH</x:v>
      </x:c>
      <x:c r="D201" s="8" t="str">
        <x:v>Dependencia tmp-0.2.5</x:v>
      </x:c>
      <x:c r="E201" s="7" t="str">
        <x:v>tmp</x:v>
      </x:c>
      <x:c r="F201" s="7" t="str">
        <x:v>0.2.5</x:v>
      </x:c>
      <x:c r="G201" s="7" t="str">
        <x:v>CWE-20</x:v>
      </x:c>
      <x:c r="H201" s="7" t="str">
        <x:v>CVE-2026-49982</x:v>
      </x:c>
      <x:c r="I201" s="7" t="n">
        <x:v>135</x:v>
      </x:c>
      <x:c r="J201" s="9" t="str">
        <x:v>PENDIENTE</x:v>
      </x:c>
      <x:c r="K201" s="10" t="n">
        <x:v>46583</x:v>
      </x:c>
      <x:c r="L201" s="7" t="str">
        <x:v>Avance 2027-07-15</x:v>
      </x:c>
      <x:c r="M201" s="8" t="str">
        <x:v>tmp is a temporary file and directory creator for node.js. In version through 0.2.6, the "_as sertPath" guard added to tmp rejects only string values that contain the substring...</x:v>
      </x:c>
      <x:c r="N201" s="17"/>
      <x:c r="O201" s="17"/>
    </x:row>
    <x:row r="202" ht="39.599998474121094" hidden="0" customHeight="1">
      <x:c r="A202" s="7" t="str">
        <x:v>SIAJ-0269</x:v>
      </x:c>
      <x:c r="B202" s="7" t="str">
        <x:v>SCA</x:v>
      </x:c>
      <x:c r="C202" s="7" t="str">
        <x:v>HIGH</x:v>
      </x:c>
      <x:c r="D202" s="8" t="str">
        <x:v>Dependencia tmp-0.2.5</x:v>
      </x:c>
      <x:c r="E202" s="7" t="str">
        <x:v>tmp</x:v>
      </x:c>
      <x:c r="F202" s="7" t="str">
        <x:v>0.2.5</x:v>
      </x:c>
      <x:c r="G202" s="7" t="str">
        <x:v>CWE-22</x:v>
      </x:c>
      <x:c r="H202" s="7" t="str">
        <x:v>CVE-2026-44705</x:v>
      </x:c>
      <x:c r="I202" s="7" t="n">
        <x:v>136</x:v>
      </x:c>
      <x:c r="J202" s="9" t="str">
        <x:v>PENDIENTE</x:v>
      </x:c>
      <x:c r="K202" s="10" t="n">
        <x:v>46583</x:v>
      </x:c>
      <x:c r="L202" s="7" t="str">
        <x:v>Avance 2027-07-15</x:v>
      </x:c>
      <x:c r="M202" s="8" t="str">
        <x:v>The tmp npm package contains a path traversal vulnerability that allows escaping the int ended temporary directory when untrusted data flows into the `prefix`, `postfix`, or `dir`</x:v>
      </x:c>
      <x:c r="N202" s="17"/>
      <x:c r="O202" s="17"/>
    </x:row>
    <x:row r="203" ht="15" hidden="0" customHeight="1">
      <x:c r="A203" s="7" t="str">
        <x:v>SIAJ-0468</x:v>
      </x:c>
      <x:c r="B203" s="7" t="str">
        <x:v>CONTAINER</x:v>
      </x:c>
      <x:c r="C203" s="7" t="str">
        <x:v>MEDIUM</x:v>
      </x:c>
      <x:c r="D203" s="8" t="str">
        <x:v>Contenedor bzip2-1.0.8-6</x:v>
      </x:c>
      <x:c r="E203" s="7" t="str">
        <x:v>bzip2</x:v>
      </x:c>
      <x:c r="F203" s="7" t="str">
        <x:v>1.0.8-6</x:v>
      </x:c>
      <x:c r="G203" s="7" t="str">
        <x:v>CWE-787</x:v>
      </x:c>
      <x:c r="H203" s="7" t="str">
        <x:v>CVE-2026-42250</x:v>
      </x:c>
      <x:c r="I203" s="7" t="n">
        <x:v>201</x:v>
      </x:c>
      <x:c r="J203" s="9" t="str">
        <x:v>PENDIENTE</x:v>
      </x:c>
      <x:c r="K203" s="10" t="n">
        <x:v>46583</x:v>
      </x:c>
      <x:c r="L203" s="7" t="str">
        <x:v>Avance 2027-07-15</x:v>
      </x:c>
      <x:c r="M203" s="8" t="str">
        <x:v>Actualizar imagen/base y validar compatibilidad en despliegue.</x:v>
      </x:c>
      <x:c r="N203" s="17"/>
      <x:c r="O203" s="17"/>
    </x:row>
    <x:row r="204" ht="15" hidden="0" customHeight="1">
      <x:c r="A204" s="7" t="str">
        <x:v>SIAJ-0425</x:v>
      </x:c>
      <x:c r="B204" s="7" t="str">
        <x:v>CONTAINER</x:v>
      </x:c>
      <x:c r="C204" s="7" t="str">
        <x:v>MEDIUM</x:v>
      </x:c>
      <x:c r="D204" s="8" t="str">
        <x:v>Contenedor coreutils-9.7-3</x:v>
      </x:c>
      <x:c r="E204" s="7" t="str">
        <x:v>coreutils</x:v>
      </x:c>
      <x:c r="F204" s="7" t="str">
        <x:v>9.7-3</x:v>
      </x:c>
      <x:c r="G204" s="7" t="str">
        <x:v>CWE-125</x:v>
      </x:c>
      <x:c r="H204" s="7" t="str">
        <x:v>CVE-2026-56391</x:v>
      </x:c>
      <x:c r="I204" s="7" t="n">
        <x:v>189</x:v>
      </x:c>
      <x:c r="J204" s="9" t="str">
        <x:v>PENDIENTE</x:v>
      </x:c>
      <x:c r="K204" s="10" t="n">
        <x:v>46583</x:v>
      </x:c>
      <x:c r="L204" s="7" t="str">
        <x:v>Avance 2027-07-15</x:v>
      </x:c>
      <x:c r="M204" s="8" t="str">
        <x:v>Actualizar imagen/base y validar compatibilidad en despliegue.</x:v>
      </x:c>
      <x:c r="N204" s="17"/>
      <x:c r="O204" s="17"/>
    </x:row>
    <x:row r="205" ht="15" hidden="0" customHeight="1">
      <x:c r="A205" s="7" t="str">
        <x:v>SIAJ-0426</x:v>
      </x:c>
      <x:c r="B205" s="7" t="str">
        <x:v>CONTAINER</x:v>
      </x:c>
      <x:c r="C205" s="7" t="str">
        <x:v>MEDIUM</x:v>
      </x:c>
      <x:c r="D205" s="8" t="str">
        <x:v>Contenedor coreutils-9.7-3</x:v>
      </x:c>
      <x:c r="E205" s="7" t="str">
        <x:v>coreutils</x:v>
      </x:c>
      <x:c r="F205" s="7" t="str">
        <x:v>9.7-3</x:v>
      </x:c>
      <x:c r="G205" s="7" t="str">
        <x:v>CWE-121</x:v>
      </x:c>
      <x:c r="H205" s="7" t="str">
        <x:v>CVE-2025-5278</x:v>
      </x:c>
      <x:c r="I205" s="7" t="n">
        <x:v>190</x:v>
      </x:c>
      <x:c r="J205" s="9" t="str">
        <x:v>PENDIENTE</x:v>
      </x:c>
      <x:c r="K205" s="10" t="n">
        <x:v>46583</x:v>
      </x:c>
      <x:c r="L205" s="7" t="str">
        <x:v>Avance 2027-07-15</x:v>
      </x:c>
      <x:c r="M205" s="8" t="str">
        <x:v>Actualizar imagen/base y validar compatibilidad en despliegue.</x:v>
      </x:c>
      <x:c r="N205" s="17"/>
      <x:c r="O205" s="17"/>
    </x:row>
    <x:row r="206" ht="15" hidden="0" customHeight="1">
      <x:c r="A206" s="7" t="str">
        <x:v>SIAJ-0475</x:v>
      </x:c>
      <x:c r="B206" s="7" t="str">
        <x:v>CONTAINER</x:v>
      </x:c>
      <x:c r="C206" s="7" t="str">
        <x:v>MEDIUM</x:v>
      </x:c>
      <x:c r="D206" s="8" t="str">
        <x:v>Contenedor glibc-2.41-12+deb13u3</x:v>
      </x:c>
      <x:c r="E206" s="7" t="str">
        <x:v>glibc</x:v>
      </x:c>
      <x:c r="F206" s="7" t="str">
        <x:v>2.41-12+deb13u3</x:v>
      </x:c>
      <x:c r="G206" s="7" t="str">
        <x:v>CWE-330</x:v>
      </x:c>
      <x:c r="H206" s="7" t="str">
        <x:v>CVE-2019-1010025</x:v>
      </x:c>
      <x:c r="I206" s="7" t="n">
        <x:v>203</x:v>
      </x:c>
      <x:c r="J206" s="9" t="str">
        <x:v>PENDIENTE</x:v>
      </x:c>
      <x:c r="K206" s="10" t="n">
        <x:v>46583</x:v>
      </x:c>
      <x:c r="L206" s="7" t="str">
        <x:v>Avance 2027-07-15</x:v>
      </x:c>
      <x:c r="M206" s="8" t="str">
        <x:v>Actualizar imagen/base y validar compatibilidad en despliegue.</x:v>
      </x:c>
      <x:c r="N206" s="17"/>
      <x:c r="O206" s="17"/>
    </x:row>
    <x:row r="207" ht="15" hidden="0" customHeight="1">
      <x:c r="A207" s="7" t="str">
        <x:v>SIAJ-0476</x:v>
      </x:c>
      <x:c r="B207" s="7" t="str">
        <x:v>CONTAINER</x:v>
      </x:c>
      <x:c r="C207" s="7" t="str">
        <x:v>MEDIUM</x:v>
      </x:c>
      <x:c r="D207" s="8" t="str">
        <x:v>Contenedor glibc-2.41-12+deb13u3</x:v>
      </x:c>
      <x:c r="E207" s="7" t="str">
        <x:v>glibc</x:v>
      </x:c>
      <x:c r="F207" s="7" t="str">
        <x:v>2.41-12+deb13u3</x:v>
      </x:c>
      <x:c r="G207" s="7" t="str">
        <x:v>CWE-399</x:v>
      </x:c>
      <x:c r="H207" s="7" t="str">
        <x:v>CVE-2010-4756</x:v>
      </x:c>
      <x:c r="I207" s="7" t="n">
        <x:v>203</x:v>
      </x:c>
      <x:c r="J207" s="9" t="str">
        <x:v>PENDIENTE</x:v>
      </x:c>
      <x:c r="K207" s="10" t="n">
        <x:v>46583</x:v>
      </x:c>
      <x:c r="L207" s="7" t="str">
        <x:v>Avance 2027-07-15</x:v>
      </x:c>
      <x:c r="M207" s="8" t="str">
        <x:v>Actualizar imagen/base y validar compatibilidad en despliegue.</x:v>
      </x:c>
      <x:c r="N207" s="17"/>
      <x:c r="O207" s="17"/>
    </x:row>
    <x:row r="208" ht="15" hidden="0" customHeight="1">
      <x:c r="A208" s="7" t="str">
        <x:v>SIAJ-0477</x:v>
      </x:c>
      <x:c r="B208" s="7" t="str">
        <x:v>CONTAINER</x:v>
      </x:c>
      <x:c r="C208" s="7" t="str">
        <x:v>MEDIUM</x:v>
      </x:c>
      <x:c r="D208" s="8" t="str">
        <x:v>Contenedor glibc-2.41-12+deb13u3</x:v>
      </x:c>
      <x:c r="E208" s="7" t="str">
        <x:v>glibc</x:v>
      </x:c>
      <x:c r="F208" s="7" t="str">
        <x:v>2.41-12+deb13u3</x:v>
      </x:c>
      <x:c r="G208" s="7" t="str">
        <x:v>CWE-200</x:v>
      </x:c>
      <x:c r="H208" s="7" t="str">
        <x:v>CVE-2019-1010024</x:v>
      </x:c>
      <x:c r="I208" s="7" t="n">
        <x:v>203</x:v>
      </x:c>
      <x:c r="J208" s="9" t="str">
        <x:v>PENDIENTE</x:v>
      </x:c>
      <x:c r="K208" s="10" t="n">
        <x:v>46583</x:v>
      </x:c>
      <x:c r="L208" s="7" t="str">
        <x:v>Avance 2027-07-15</x:v>
      </x:c>
      <x:c r="M208" s="8" t="str">
        <x:v>Actualizar imagen/base y validar compatibilidad en despliegue.</x:v>
      </x:c>
      <x:c r="N208" s="17"/>
      <x:c r="O208" s="17"/>
    </x:row>
    <x:row r="209" ht="15" hidden="0" customHeight="1">
      <x:c r="A209" s="7" t="str">
        <x:v>SIAJ-0478</x:v>
      </x:c>
      <x:c r="B209" s="7" t="str">
        <x:v>CONTAINER</x:v>
      </x:c>
      <x:c r="C209" s="7" t="str">
        <x:v>MEDIUM</x:v>
      </x:c>
      <x:c r="D209" s="8" t="str">
        <x:v>Contenedor glibc-2.41-12+deb13u3</x:v>
      </x:c>
      <x:c r="E209" s="7" t="str">
        <x:v>glibc</x:v>
      </x:c>
      <x:c r="F209" s="7" t="str">
        <x:v>2.41-12+deb13u3</x:v>
      </x:c>
      <x:c r="G209" s="7" t="str">
        <x:v>NVD-CWE-noinfo</x:v>
      </x:c>
      <x:c r="H209" s="7" t="str">
        <x:v>CVE-2019-1010023</x:v>
      </x:c>
      <x:c r="I209" s="7" t="n">
        <x:v>203</x:v>
      </x:c>
      <x:c r="J209" s="9" t="str">
        <x:v>PENDIENTE</x:v>
      </x:c>
      <x:c r="K209" s="10" t="n">
        <x:v>46583</x:v>
      </x:c>
      <x:c r="L209" s="7" t="str">
        <x:v>Avance 2027-07-15</x:v>
      </x:c>
      <x:c r="M209" s="8" t="str">
        <x:v>Actualizar imagen/base y validar compatibilidad en despliegue.</x:v>
      </x:c>
      <x:c r="N209" s="17"/>
      <x:c r="O209" s="17"/>
    </x:row>
    <x:row r="210" ht="15" hidden="0" customHeight="1">
      <x:c r="A210" s="7" t="str">
        <x:v>SIAJ-0479</x:v>
      </x:c>
      <x:c r="B210" s="7" t="str">
        <x:v>CONTAINER</x:v>
      </x:c>
      <x:c r="C210" s="7" t="str">
        <x:v>MEDIUM</x:v>
      </x:c>
      <x:c r="D210" s="8" t="str">
        <x:v>Contenedor glibc-2.41-12+deb13u3</x:v>
      </x:c>
      <x:c r="E210" s="7" t="str">
        <x:v>glibc</x:v>
      </x:c>
      <x:c r="F210" s="7" t="str">
        <x:v>2.41-12+deb13u3</x:v>
      </x:c>
      <x:c r="G210" s="7" t="str">
        <x:v>CWE-126</x:v>
      </x:c>
      <x:c r="H210" s="7" t="str">
        <x:v>CVE-2026-6238</x:v>
      </x:c>
      <x:c r="I210" s="7" t="n">
        <x:v>204</x:v>
      </x:c>
      <x:c r="J210" s="9" t="str">
        <x:v>PENDIENTE</x:v>
      </x:c>
      <x:c r="K210" s="10" t="n">
        <x:v>46583</x:v>
      </x:c>
      <x:c r="L210" s="7" t="str">
        <x:v>Avance 2027-07-15</x:v>
      </x:c>
      <x:c r="M210" s="8" t="str">
        <x:v>Actualizar imagen/base y validar compatibilidad en despliegue.</x:v>
      </x:c>
      <x:c r="N210" s="17"/>
      <x:c r="O210" s="17"/>
    </x:row>
    <x:row r="211" ht="15" hidden="0" customHeight="1">
      <x:c r="A211" s="7" t="str">
        <x:v>SIAJ-0496</x:v>
      </x:c>
      <x:c r="B211" s="7" t="str">
        <x:v>CONTAINER</x:v>
      </x:c>
      <x:c r="C211" s="7" t="str">
        <x:v>MEDIUM</x:v>
      </x:c>
      <x:c r="D211" s="8" t="str">
        <x:v>Contenedor gnupg2-2.4.7-21+deb13u1</x:v>
      </x:c>
      <x:c r="E211" s="7" t="str">
        <x:v>gnupg2</x:v>
      </x:c>
      <x:c r="F211" s="7" t="str">
        <x:v>2.4.7-21+deb13u1</x:v>
      </x:c>
      <x:c r="G211" s="7" t="str">
        <x:v>CWE-347</x:v>
      </x:c>
      <x:c r="H211" s="7" t="str">
        <x:v>CVE-2025-68972</x:v>
      </x:c>
      <x:c r="I211" s="7" t="n">
        <x:v>208</x:v>
      </x:c>
      <x:c r="J211" s="9" t="str">
        <x:v>PENDIENTE</x:v>
      </x:c>
      <x:c r="K211" s="10" t="n">
        <x:v>46583</x:v>
      </x:c>
      <x:c r="L211" s="7" t="str">
        <x:v>Avance 2027-07-15</x:v>
      </x:c>
      <x:c r="M211" s="8" t="str">
        <x:v>Actualizar imagen/base y validar compatibilidad en despliegue.</x:v>
      </x:c>
      <x:c r="N211" s="17"/>
      <x:c r="O211" s="17"/>
    </x:row>
    <x:row r="212" ht="15" hidden="0" customHeight="1">
      <x:c r="A212" s="7" t="str">
        <x:v>SIAJ-0497</x:v>
      </x:c>
      <x:c r="B212" s="7" t="str">
        <x:v>CONTAINER</x:v>
      </x:c>
      <x:c r="C212" s="7" t="str">
        <x:v>MEDIUM</x:v>
      </x:c>
      <x:c r="D212" s="8" t="str">
        <x:v>Contenedor gnutls28-3.8.9-3+deb13u4</x:v>
      </x:c>
      <x:c r="E212" s="7" t="str">
        <x:v>gnutls28</x:v>
      </x:c>
      <x:c r="F212" s="7" t="str">
        <x:v>3.8.9-3+deb13u4</x:v>
      </x:c>
      <x:c r="G212" s="7" t="str">
        <x:v>CWE-326</x:v>
      </x:c>
      <x:c r="H212" s="7" t="str">
        <x:v>CVE-2011-3389</x:v>
      </x:c>
      <x:c r="I212" s="7" t="n">
        <x:v>208</x:v>
      </x:c>
      <x:c r="J212" s="9" t="str">
        <x:v>PENDIENTE</x:v>
      </x:c>
      <x:c r="K212" s="10" t="n">
        <x:v>46583</x:v>
      </x:c>
      <x:c r="L212" s="7" t="str">
        <x:v>Avance 2027-07-15</x:v>
      </x:c>
      <x:c r="M212" s="8" t="str">
        <x:v>Actualizar imagen/base y validar compatibilidad en despliegue.</x:v>
      </x:c>
      <x:c r="N212" s="17"/>
      <x:c r="O212" s="17"/>
    </x:row>
    <x:row r="213" ht="15" hidden="0" customHeight="1">
      <x:c r="A213" s="7" t="str">
        <x:v>SIAJ-0402</x:v>
      </x:c>
      <x:c r="B213" s="7" t="str">
        <x:v>CONTAINER</x:v>
      </x:c>
      <x:c r="C213" s="7" t="str">
        <x:v>MEDIUM</x:v>
      </x:c>
      <x:c r="D213" s="8" t="str">
        <x:v>Contenedor golang-1.24-1.24.6</x:v>
      </x:c>
      <x:c r="E213" s="7" t="str">
        <x:v>golang-1.24</x:v>
      </x:c>
      <x:c r="F213" s="7" t="str">
        <x:v>1.24.6</x:v>
      </x:c>
      <x:c r="G213" s="7" t="str">
        <x:v>CWE-770</x:v>
      </x:c>
      <x:c r="H213" s="7" t="str">
        <x:v>CVE-2025-61724</x:v>
      </x:c>
      <x:c r="I213" s="7" t="n">
        <x:v>183</x:v>
      </x:c>
      <x:c r="J213" s="9" t="str">
        <x:v>PENDIENTE</x:v>
      </x:c>
      <x:c r="K213" s="10" t="n">
        <x:v>46583</x:v>
      </x:c>
      <x:c r="L213" s="7" t="str">
        <x:v>Avance 2027-07-15</x:v>
      </x:c>
      <x:c r="M213" s="8" t="str">
        <x:v>Actualizar imagen/base y validar compatibilidad en despliegue.</x:v>
      </x:c>
      <x:c r="N213" s="17"/>
      <x:c r="O213" s="17"/>
    </x:row>
    <x:row r="214" ht="15" hidden="0" customHeight="1">
      <x:c r="A214" s="7" t="str">
        <x:v>SIAJ-0403</x:v>
      </x:c>
      <x:c r="B214" s="7" t="str">
        <x:v>CONTAINER</x:v>
      </x:c>
      <x:c r="C214" s="7" t="str">
        <x:v>MEDIUM</x:v>
      </x:c>
      <x:c r="D214" s="8" t="str">
        <x:v>Contenedor golang-1.24-1.24.6</x:v>
      </x:c>
      <x:c r="E214" s="7" t="str">
        <x:v>golang-1.24</x:v>
      </x:c>
      <x:c r="F214" s="7" t="str">
        <x:v>1.24.6</x:v>
      </x:c>
      <x:c r="G214" s="7" t="str">
        <x:v>CWE-532</x:v>
      </x:c>
      <x:c r="H214" s="7" t="str">
        <x:v>CVE-2025-58189</x:v>
      </x:c>
      <x:c r="I214" s="7" t="n">
        <x:v>183</x:v>
      </x:c>
      <x:c r="J214" s="9" t="str">
        <x:v>PENDIENTE</x:v>
      </x:c>
      <x:c r="K214" s="10" t="n">
        <x:v>46614</x:v>
      </x:c>
      <x:c r="L214" s="7" t="str">
        <x:v>Avance 2027-08-15</x:v>
      </x:c>
      <x:c r="M214" s="8" t="str">
        <x:v>Actualizar imagen/base y validar compatibilidad en despliegue.</x:v>
      </x:c>
      <x:c r="N214" s="17"/>
      <x:c r="O214" s="17"/>
    </x:row>
    <x:row r="215" ht="15" hidden="0" customHeight="1">
      <x:c r="A215" s="7" t="str">
        <x:v>SIAJ-0404</x:v>
      </x:c>
      <x:c r="B215" s="7" t="str">
        <x:v>CONTAINER</x:v>
      </x:c>
      <x:c r="C215" s="7" t="str">
        <x:v>MEDIUM</x:v>
      </x:c>
      <x:c r="D215" s="8" t="str">
        <x:v>Contenedor golang-1.24-1.24.6</x:v>
      </x:c>
      <x:c r="E215" s="7" t="str">
        <x:v>golang-1.24</x:v>
      </x:c>
      <x:c r="F215" s="7" t="str">
        <x:v>1.24.6</x:v>
      </x:c>
      <x:c r="G215" s="7" t="str"/>
      <x:c r="H215" s="7" t="str">
        <x:v>CVE-2026-42507</x:v>
      </x:c>
      <x:c r="I215" s="7" t="n">
        <x:v>184</x:v>
      </x:c>
      <x:c r="J215" s="9" t="str">
        <x:v>PENDIENTE</x:v>
      </x:c>
      <x:c r="K215" s="10" t="n">
        <x:v>46614</x:v>
      </x:c>
      <x:c r="L215" s="7" t="str">
        <x:v>Avance 2027-08-15</x:v>
      </x:c>
      <x:c r="M215" s="8" t="str">
        <x:v>Actualizar imagen/base y validar compatibilidad en despliegue.</x:v>
      </x:c>
      <x:c r="N215" s="17"/>
      <x:c r="O215" s="17"/>
    </x:row>
    <x:row r="216" ht="15" hidden="0" customHeight="1">
      <x:c r="A216" s="7" t="str">
        <x:v>SIAJ-0405</x:v>
      </x:c>
      <x:c r="B216" s="7" t="str">
        <x:v>CONTAINER</x:v>
      </x:c>
      <x:c r="C216" s="7" t="str">
        <x:v>MEDIUM</x:v>
      </x:c>
      <x:c r="D216" s="8" t="str">
        <x:v>Contenedor golang-1.24-1.24.6</x:v>
      </x:c>
      <x:c r="E216" s="7" t="str">
        <x:v>golang-1.24</x:v>
      </x:c>
      <x:c r="F216" s="7" t="str">
        <x:v>1.24.6</x:v>
      </x:c>
      <x:c r="G216" s="7" t="str">
        <x:v>CWE-606</x:v>
      </x:c>
      <x:c r="H216" s="7" t="str">
        <x:v>CVE-2026-27145</x:v>
      </x:c>
      <x:c r="I216" s="7" t="n">
        <x:v>184</x:v>
      </x:c>
      <x:c r="J216" s="9" t="str">
        <x:v>PENDIENTE</x:v>
      </x:c>
      <x:c r="K216" s="10" t="n">
        <x:v>46614</x:v>
      </x:c>
      <x:c r="L216" s="7" t="str">
        <x:v>Avance 2027-08-15</x:v>
      </x:c>
      <x:c r="M216" s="8" t="str">
        <x:v>Actualizar imagen/base y validar compatibilidad en despliegue.</x:v>
      </x:c>
      <x:c r="N216" s="17"/>
      <x:c r="O216" s="17"/>
    </x:row>
    <x:row r="217" ht="15" hidden="0" customHeight="1">
      <x:c r="A217" s="7" t="str">
        <x:v>SIAJ-0406</x:v>
      </x:c>
      <x:c r="B217" s="7" t="str">
        <x:v>CONTAINER</x:v>
      </x:c>
      <x:c r="C217" s="7" t="str">
        <x:v>MEDIUM</x:v>
      </x:c>
      <x:c r="D217" s="8" t="str">
        <x:v>Contenedor golang-1.24-1.24.6</x:v>
      </x:c>
      <x:c r="E217" s="7" t="str">
        <x:v>golang-1.24</x:v>
      </x:c>
      <x:c r="F217" s="7" t="str">
        <x:v>1.24.6</x:v>
      </x:c>
      <x:c r="G217" s="7" t="str">
        <x:v>NVD-CWE-noinfo</x:v>
      </x:c>
      <x:c r="H217" s="7" t="str">
        <x:v>CVE-2025-47912</x:v>
      </x:c>
      <x:c r="I217" s="7" t="n">
        <x:v>184</x:v>
      </x:c>
      <x:c r="J217" s="9" t="str">
        <x:v>PENDIENTE</x:v>
      </x:c>
      <x:c r="K217" s="10" t="n">
        <x:v>46614</x:v>
      </x:c>
      <x:c r="L217" s="7" t="str">
        <x:v>Avance 2027-08-15</x:v>
      </x:c>
      <x:c r="M217" s="8" t="str">
        <x:v>Actualizar imagen/base y validar compatibilidad en despliegue.</x:v>
      </x:c>
      <x:c r="N217" s="17"/>
      <x:c r="O217" s="17"/>
    </x:row>
    <x:row r="218" ht="15" hidden="0" customHeight="1">
      <x:c r="A218" s="7" t="str">
        <x:v>SIAJ-0407</x:v>
      </x:c>
      <x:c r="B218" s="7" t="str">
        <x:v>CONTAINER</x:v>
      </x:c>
      <x:c r="C218" s="7" t="str">
        <x:v>MEDIUM</x:v>
      </x:c>
      <x:c r="D218" s="8" t="str">
        <x:v>Contenedor golang-1.24-1.24.6</x:v>
      </x:c>
      <x:c r="E218" s="7" t="str">
        <x:v>golang-1.24</x:v>
      </x:c>
      <x:c r="F218" s="7" t="str">
        <x:v>1.24.6</x:v>
      </x:c>
      <x:c r="G218" s="7" t="str">
        <x:v>CWE-770</x:v>
      </x:c>
      <x:c r="H218" s="7" t="str">
        <x:v>CVE-2025-58185</x:v>
      </x:c>
      <x:c r="I218" s="7" t="n">
        <x:v>185</x:v>
      </x:c>
      <x:c r="J218" s="9" t="str">
        <x:v>PENDIENTE</x:v>
      </x:c>
      <x:c r="K218" s="10" t="n">
        <x:v>46614</x:v>
      </x:c>
      <x:c r="L218" s="7" t="str">
        <x:v>Avance 2027-08-15</x:v>
      </x:c>
      <x:c r="M218" s="8" t="str">
        <x:v>Actualizar imagen/base y validar compatibilidad en despliegue.</x:v>
      </x:c>
      <x:c r="N218" s="17"/>
      <x:c r="O218" s="17"/>
    </x:row>
    <x:row r="219" ht="15" hidden="0" customHeight="1">
      <x:c r="A219" s="7" t="str">
        <x:v>SIAJ-0408</x:v>
      </x:c>
      <x:c r="B219" s="7" t="str">
        <x:v>CONTAINER</x:v>
      </x:c>
      <x:c r="C219" s="7" t="str">
        <x:v>MEDIUM</x:v>
      </x:c>
      <x:c r="D219" s="8" t="str">
        <x:v>Contenedor golang-1.24-1.24.6</x:v>
      </x:c>
      <x:c r="E219" s="7" t="str">
        <x:v>golang-1.24</x:v>
      </x:c>
      <x:c r="F219" s="7" t="str">
        <x:v>1.24.6</x:v>
      </x:c>
      <x:c r="G219" s="7" t="str">
        <x:v>CWE-295</x:v>
      </x:c>
      <x:c r="H219" s="7" t="str">
        <x:v>CVE-2025-61727</x:v>
      </x:c>
      <x:c r="I219" s="7" t="n">
        <x:v>185</x:v>
      </x:c>
      <x:c r="J219" s="9" t="str">
        <x:v>PENDIENTE</x:v>
      </x:c>
      <x:c r="K219" s="10" t="n">
        <x:v>46614</x:v>
      </x:c>
      <x:c r="L219" s="7" t="str">
        <x:v>Avance 2027-08-15</x:v>
      </x:c>
      <x:c r="M219" s="8" t="str">
        <x:v>Actualizar imagen/base y validar compatibilidad en despliegue.</x:v>
      </x:c>
      <x:c r="N219" s="17"/>
      <x:c r="O219" s="17"/>
    </x:row>
    <x:row r="220" ht="15" hidden="0" customHeight="1">
      <x:c r="A220" s="7" t="str">
        <x:v>SIAJ-0409</x:v>
      </x:c>
      <x:c r="B220" s="7" t="str">
        <x:v>CONTAINER</x:v>
      </x:c>
      <x:c r="C220" s="7" t="str">
        <x:v>MEDIUM</x:v>
      </x:c>
      <x:c r="D220" s="8" t="str">
        <x:v>Contenedor golang-1.24-1.24.6</x:v>
      </x:c>
      <x:c r="E220" s="7" t="str">
        <x:v>golang-1.24</x:v>
      </x:c>
      <x:c r="F220" s="7" t="str">
        <x:v>1.24.6</x:v>
      </x:c>
      <x:c r="G220" s="7" t="str">
        <x:v>NVD-CWE-Other</x:v>
      </x:c>
      <x:c r="H220" s="7" t="str">
        <x:v>CVE-2025-47906</x:v>
      </x:c>
      <x:c r="I220" s="7" t="n">
        <x:v>185</x:v>
      </x:c>
      <x:c r="J220" s="9" t="str">
        <x:v>PENDIENTE</x:v>
      </x:c>
      <x:c r="K220" s="10" t="n">
        <x:v>46614</x:v>
      </x:c>
      <x:c r="L220" s="7" t="str">
        <x:v>Avance 2027-08-15</x:v>
      </x:c>
      <x:c r="M220" s="8" t="str">
        <x:v>Actualizar imagen/base y validar compatibilidad en despliegue.</x:v>
      </x:c>
      <x:c r="N220" s="17"/>
      <x:c r="O220" s="17"/>
    </x:row>
    <x:row r="221" ht="15" hidden="0" customHeight="1">
      <x:c r="A221" s="7" t="str">
        <x:v>SIAJ-0410</x:v>
      </x:c>
      <x:c r="B221" s="7" t="str">
        <x:v>CONTAINER</x:v>
      </x:c>
      <x:c r="C221" s="7" t="str">
        <x:v>MEDIUM</x:v>
      </x:c>
      <x:c r="D221" s="8" t="str">
        <x:v>Contenedor golang-1.24-1.24.6</x:v>
      </x:c>
      <x:c r="E221" s="7" t="str">
        <x:v>golang-1.24</x:v>
      </x:c>
      <x:c r="F221" s="7" t="str">
        <x:v>1.24.6</x:v>
      </x:c>
      <x:c r="G221" s="7" t="str"/>
      <x:c r="H221" s="7" t="str">
        <x:v>CVE-2025-58183</x:v>
      </x:c>
      <x:c r="I221" s="7" t="n">
        <x:v>185</x:v>
      </x:c>
      <x:c r="J221" s="9" t="str">
        <x:v>PENDIENTE</x:v>
      </x:c>
      <x:c r="K221" s="10" t="n">
        <x:v>46614</x:v>
      </x:c>
      <x:c r="L221" s="7" t="str">
        <x:v>Avance 2027-08-15</x:v>
      </x:c>
      <x:c r="M221" s="8" t="str">
        <x:v>Actualizar imagen/base y validar compatibilidad en despliegue.</x:v>
      </x:c>
      <x:c r="N221" s="17"/>
      <x:c r="O221" s="17"/>
    </x:row>
    <x:row r="222" ht="15" hidden="0" customHeight="1">
      <x:c r="A222" s="7" t="str">
        <x:v>SIAJ-0411</x:v>
      </x:c>
      <x:c r="B222" s="7" t="str">
        <x:v>CONTAINER</x:v>
      </x:c>
      <x:c r="C222" s="7" t="str">
        <x:v>MEDIUM</x:v>
      </x:c>
      <x:c r="D222" s="8" t="str">
        <x:v>Contenedor golang-1.24-1.24.6</x:v>
      </x:c>
      <x:c r="E222" s="7" t="str">
        <x:v>golang-1.24</x:v>
      </x:c>
      <x:c r="F222" s="7" t="str">
        <x:v>1.24.6</x:v>
      </x:c>
      <x:c r="G222" s="7" t="str"/>
      <x:c r="H222" s="7" t="str">
        <x:v>CVE-2025-58186</x:v>
      </x:c>
      <x:c r="I222" s="7" t="n">
        <x:v>186</x:v>
      </x:c>
      <x:c r="J222" s="9" t="str">
        <x:v>PENDIENTE</x:v>
      </x:c>
      <x:c r="K222" s="10" t="n">
        <x:v>46614</x:v>
      </x:c>
      <x:c r="L222" s="7" t="str">
        <x:v>Avance 2027-08-15</x:v>
      </x:c>
      <x:c r="M222" s="8" t="str">
        <x:v>Actualizar imagen/base y validar compatibilidad en despliegue.</x:v>
      </x:c>
      <x:c r="N222" s="17"/>
      <x:c r="O222" s="17"/>
    </x:row>
    <x:row r="223" ht="15" hidden="0" customHeight="1">
      <x:c r="A223" s="7" t="str">
        <x:v>SIAJ-0412</x:v>
      </x:c>
      <x:c r="B223" s="7" t="str">
        <x:v>CONTAINER</x:v>
      </x:c>
      <x:c r="C223" s="7" t="str">
        <x:v>MEDIUM</x:v>
      </x:c>
      <x:c r="D223" s="8" t="str">
        <x:v>Contenedor golang-1.24-1.24.6</x:v>
      </x:c>
      <x:c r="E223" s="7" t="str">
        <x:v>golang-1.24</x:v>
      </x:c>
      <x:c r="F223" s="7" t="str">
        <x:v>1.24.6</x:v>
      </x:c>
      <x:c r="G223" s="7" t="str">
        <x:v>CWE-770</x:v>
      </x:c>
      <x:c r="H223" s="7" t="str">
        <x:v>CVE-2025-61728</x:v>
      </x:c>
      <x:c r="I223" s="7" t="n">
        <x:v>186</x:v>
      </x:c>
      <x:c r="J223" s="9" t="str">
        <x:v>PENDIENTE</x:v>
      </x:c>
      <x:c r="K223" s="10" t="n">
        <x:v>46614</x:v>
      </x:c>
      <x:c r="L223" s="7" t="str">
        <x:v>Avance 2027-08-15</x:v>
      </x:c>
      <x:c r="M223" s="8" t="str">
        <x:v>Actualizar imagen/base y validar compatibilidad en despliegue.</x:v>
      </x:c>
      <x:c r="N223" s="17"/>
      <x:c r="O223" s="17"/>
    </x:row>
    <x:row r="224" ht="15" hidden="0" customHeight="1">
      <x:c r="A224" s="7" t="str">
        <x:v>SIAJ-0413</x:v>
      </x:c>
      <x:c r="B224" s="7" t="str">
        <x:v>CONTAINER</x:v>
      </x:c>
      <x:c r="C224" s="7" t="str">
        <x:v>MEDIUM</x:v>
      </x:c>
      <x:c r="D224" s="8" t="str">
        <x:v>Contenedor golang-1.24-1.24.6</x:v>
      </x:c>
      <x:c r="E224" s="7" t="str">
        <x:v>golang-1.24</x:v>
      </x:c>
      <x:c r="F224" s="7" t="str">
        <x:v>1.24.6</x:v>
      </x:c>
      <x:c r="G224" s="7" t="str">
        <x:v>NVD-CWE-noinfo</x:v>
      </x:c>
      <x:c r="H224" s="7" t="str">
        <x:v>CVE-2025-61730</x:v>
      </x:c>
      <x:c r="I224" s="7" t="n">
        <x:v>186</x:v>
      </x:c>
      <x:c r="J224" s="9" t="str">
        <x:v>PENDIENTE</x:v>
      </x:c>
      <x:c r="K224" s="10" t="n">
        <x:v>46614</x:v>
      </x:c>
      <x:c r="L224" s="7" t="str">
        <x:v>Avance 2027-08-15</x:v>
      </x:c>
      <x:c r="M224" s="8" t="str">
        <x:v>Actualizar imagen/base y validar compatibilidad en despliegue.</x:v>
      </x:c>
      <x:c r="N224" s="17"/>
      <x:c r="O224" s="17"/>
    </x:row>
    <x:row r="225" ht="15" hidden="0" customHeight="1">
      <x:c r="A225" s="7" t="str">
        <x:v>SIAJ-0414</x:v>
      </x:c>
      <x:c r="B225" s="7" t="str">
        <x:v>CONTAINER</x:v>
      </x:c>
      <x:c r="C225" s="7" t="str">
        <x:v>MEDIUM</x:v>
      </x:c>
      <x:c r="D225" s="8" t="str">
        <x:v>Contenedor golang-1.24-1.24.6</x:v>
      </x:c>
      <x:c r="E225" s="7" t="str">
        <x:v>golang-1.24</x:v>
      </x:c>
      <x:c r="F225" s="7" t="str">
        <x:v>1.24.6</x:v>
      </x:c>
      <x:c r="G225" s="7" t="str">
        <x:v>CWE-79</x:v>
      </x:c>
      <x:c r="H225" s="7" t="str">
        <x:v>CVE-2026-27142</x:v>
      </x:c>
      <x:c r="I225" s="7" t="n">
        <x:v>186</x:v>
      </x:c>
      <x:c r="J225" s="9" t="str">
        <x:v>PENDIENTE</x:v>
      </x:c>
      <x:c r="K225" s="10" t="n">
        <x:v>46614</x:v>
      </x:c>
      <x:c r="L225" s="7" t="str">
        <x:v>Avance 2027-08-15</x:v>
      </x:c>
      <x:c r="M225" s="8" t="str">
        <x:v>Actualizar imagen/base y validar compatibilidad en despliegue.</x:v>
      </x:c>
      <x:c r="N225" s="17"/>
      <x:c r="O225" s="17"/>
    </x:row>
    <x:row r="226" ht="15" hidden="0" customHeight="1">
      <x:c r="A226" s="7" t="str">
        <x:v>SIAJ-0415</x:v>
      </x:c>
      <x:c r="B226" s="7" t="str">
        <x:v>CONTAINER</x:v>
      </x:c>
      <x:c r="C226" s="7" t="str">
        <x:v>MEDIUM</x:v>
      </x:c>
      <x:c r="D226" s="8" t="str">
        <x:v>Contenedor golang-1.24-1.24.6</x:v>
      </x:c>
      <x:c r="E226" s="7" t="str">
        <x:v>golang-1.24</x:v>
      </x:c>
      <x:c r="F226" s="7" t="str">
        <x:v>1.24.6</x:v>
      </x:c>
      <x:c r="G226" s="7" t="str">
        <x:v>CWE-201</x:v>
      </x:c>
      <x:c r="H226" s="7" t="str">
        <x:v>CVE-2026-42505</x:v>
      </x:c>
      <x:c r="I226" s="7" t="n">
        <x:v>187</x:v>
      </x:c>
      <x:c r="J226" s="9" t="str">
        <x:v>PENDIENTE</x:v>
      </x:c>
      <x:c r="K226" s="10" t="n">
        <x:v>46614</x:v>
      </x:c>
      <x:c r="L226" s="7" t="str">
        <x:v>Avance 2027-08-15</x:v>
      </x:c>
      <x:c r="M226" s="8" t="str">
        <x:v>Actualizar imagen/base y validar compatibilidad en despliegue.</x:v>
      </x:c>
      <x:c r="N226" s="17"/>
      <x:c r="O226" s="17"/>
    </x:row>
    <x:row r="227" ht="15" hidden="0" customHeight="1">
      <x:c r="A227" s="7" t="str">
        <x:v>SIAJ-0416</x:v>
      </x:c>
      <x:c r="B227" s="7" t="str">
        <x:v>CONTAINER</x:v>
      </x:c>
      <x:c r="C227" s="7" t="str">
        <x:v>MEDIUM</x:v>
      </x:c>
      <x:c r="D227" s="8" t="str">
        <x:v>Contenedor golang-1.24-1.24.6</x:v>
      </x:c>
      <x:c r="E227" s="7" t="str">
        <x:v>golang-1.24</x:v>
      </x:c>
      <x:c r="F227" s="7" t="str">
        <x:v>1.24.6</x:v>
      </x:c>
      <x:c r="G227" s="7" t="str">
        <x:v>CWE-79</x:v>
      </x:c>
      <x:c r="H227" s="7" t="str">
        <x:v>CVE-2026-32289</x:v>
      </x:c>
      <x:c r="I227" s="7" t="n">
        <x:v>187</x:v>
      </x:c>
      <x:c r="J227" s="9" t="str">
        <x:v>PENDIENTE</x:v>
      </x:c>
      <x:c r="K227" s="10" t="n">
        <x:v>46614</x:v>
      </x:c>
      <x:c r="L227" s="7" t="str">
        <x:v>Avance 2027-08-15</x:v>
      </x:c>
      <x:c r="M227" s="8" t="str">
        <x:v>Actualizar imagen/base y validar compatibilidad en despliegue.</x:v>
      </x:c>
      <x:c r="N227" s="17"/>
      <x:c r="O227" s="17"/>
    </x:row>
    <x:row r="228" ht="15" hidden="0" customHeight="1">
      <x:c r="A228" s="7" t="str">
        <x:v>SIAJ-0417</x:v>
      </x:c>
      <x:c r="B228" s="7" t="str">
        <x:v>CONTAINER</x:v>
      </x:c>
      <x:c r="C228" s="7" t="str">
        <x:v>MEDIUM</x:v>
      </x:c>
      <x:c r="D228" s="8" t="str">
        <x:v>Contenedor golang-1.24-1.24.6</x:v>
      </x:c>
      <x:c r="E228" s="7" t="str">
        <x:v>golang-1.24</x:v>
      </x:c>
      <x:c r="F228" s="7" t="str">
        <x:v>1.24.6</x:v>
      </x:c>
      <x:c r="G228" s="7" t="str">
        <x:v>CWE-770</x:v>
      </x:c>
      <x:c r="H228" s="7" t="str">
        <x:v>CVE-2026-32288</x:v>
      </x:c>
      <x:c r="I228" s="7" t="n">
        <x:v>187</x:v>
      </x:c>
      <x:c r="J228" s="9" t="str">
        <x:v>PENDIENTE</x:v>
      </x:c>
      <x:c r="K228" s="10" t="n">
        <x:v>46614</x:v>
      </x:c>
      <x:c r="L228" s="7" t="str">
        <x:v>Avance 2027-08-15</x:v>
      </x:c>
      <x:c r="M228" s="8" t="str">
        <x:v>Actualizar imagen/base y validar compatibilidad en despliegue.</x:v>
      </x:c>
      <x:c r="N228" s="17"/>
      <x:c r="O228" s="17"/>
    </x:row>
    <x:row r="229" ht="15" hidden="0" customHeight="1">
      <x:c r="A229" s="7" t="str">
        <x:v>SIAJ-0418</x:v>
      </x:c>
      <x:c r="B229" s="7" t="str">
        <x:v>CONTAINER</x:v>
      </x:c>
      <x:c r="C229" s="7" t="str">
        <x:v>MEDIUM</x:v>
      </x:c>
      <x:c r="D229" s="8" t="str">
        <x:v>Contenedor golang-1.24-1.24.6</x:v>
      </x:c>
      <x:c r="E229" s="7" t="str">
        <x:v>golang-1.24</x:v>
      </x:c>
      <x:c r="F229" s="7" t="str">
        <x:v>1.24.6</x:v>
      </x:c>
      <x:c r="G229" s="7" t="str">
        <x:v>CWE-59</x:v>
      </x:c>
      <x:c r="H229" s="7" t="str">
        <x:v>CVE-2026-32282</x:v>
      </x:c>
      <x:c r="I229" s="7" t="n">
        <x:v>187</x:v>
      </x:c>
      <x:c r="J229" s="9" t="str">
        <x:v>PENDIENTE</x:v>
      </x:c>
      <x:c r="K229" s="10" t="n">
        <x:v>46614</x:v>
      </x:c>
      <x:c r="L229" s="7" t="str">
        <x:v>Avance 2027-08-15</x:v>
      </x:c>
      <x:c r="M229" s="8" t="str">
        <x:v>Actualizar imagen/base y validar compatibilidad en despliegue.</x:v>
      </x:c>
      <x:c r="N229" s="17"/>
      <x:c r="O229" s="17"/>
    </x:row>
    <x:row r="230" ht="15" hidden="0" customHeight="1">
      <x:c r="A230" s="7" t="str">
        <x:v>SIAJ-0419</x:v>
      </x:c>
      <x:c r="B230" s="7" t="str">
        <x:v>CONTAINER</x:v>
      </x:c>
      <x:c r="C230" s="7" t="str">
        <x:v>MEDIUM</x:v>
      </x:c>
      <x:c r="D230" s="8" t="str">
        <x:v>Contenedor golang-1.24-1.24.6</x:v>
      </x:c>
      <x:c r="E230" s="7" t="str">
        <x:v>golang-1.24</x:v>
      </x:c>
      <x:c r="F230" s="7" t="str">
        <x:v>1.24.6</x:v>
      </x:c>
      <x:c r="G230" s="7" t="str">
        <x:v>CWE-116</x:v>
      </x:c>
      <x:c r="H230" s="7" t="str">
        <x:v>CVE-2026-39826</x:v>
      </x:c>
      <x:c r="I230" s="7" t="n">
        <x:v>188</x:v>
      </x:c>
      <x:c r="J230" s="9" t="str">
        <x:v>PENDIENTE</x:v>
      </x:c>
      <x:c r="K230" s="10" t="n">
        <x:v>46614</x:v>
      </x:c>
      <x:c r="L230" s="7" t="str">
        <x:v>Avance 2027-08-15</x:v>
      </x:c>
      <x:c r="M230" s="8" t="str">
        <x:v>Actualizar imagen/base y validar compatibilidad en despliegue.</x:v>
      </x:c>
      <x:c r="N230" s="17"/>
      <x:c r="O230" s="17"/>
    </x:row>
    <x:row r="231" ht="15" hidden="0" customHeight="1">
      <x:c r="A231" s="7" t="str">
        <x:v>SIAJ-0420</x:v>
      </x:c>
      <x:c r="B231" s="7" t="str">
        <x:v>CONTAINER</x:v>
      </x:c>
      <x:c r="C231" s="7" t="str">
        <x:v>MEDIUM</x:v>
      </x:c>
      <x:c r="D231" s="8" t="str">
        <x:v>Contenedor golang-1.24-1.24.6</x:v>
      </x:c>
      <x:c r="E231" s="7" t="str">
        <x:v>golang-1.24</x:v>
      </x:c>
      <x:c r="F231" s="7" t="str">
        <x:v>1.24.6</x:v>
      </x:c>
      <x:c r="G231" s="7" t="str">
        <x:v>NVD-CWE-noinfo</x:v>
      </x:c>
      <x:c r="H231" s="7" t="str">
        <x:v>CVE-2026-39825</x:v>
      </x:c>
      <x:c r="I231" s="7" t="n">
        <x:v>188</x:v>
      </x:c>
      <x:c r="J231" s="9" t="str">
        <x:v>PENDIENTE</x:v>
      </x:c>
      <x:c r="K231" s="10" t="n">
        <x:v>46614</x:v>
      </x:c>
      <x:c r="L231" s="7" t="str">
        <x:v>Avance 2027-08-15</x:v>
      </x:c>
      <x:c r="M231" s="8" t="str">
        <x:v>Actualizar imagen/base y validar compatibilidad en despliegue.</x:v>
      </x:c>
      <x:c r="N231" s="17"/>
      <x:c r="O231" s="17"/>
    </x:row>
    <x:row r="232" ht="15" hidden="0" customHeight="1">
      <x:c r="A232" s="7" t="str">
        <x:v>SIAJ-0421</x:v>
      </x:c>
      <x:c r="B232" s="7" t="str">
        <x:v>CONTAINER</x:v>
      </x:c>
      <x:c r="C232" s="7" t="str">
        <x:v>MEDIUM</x:v>
      </x:c>
      <x:c r="D232" s="8" t="str">
        <x:v>Contenedor golang-1.24-1.24.6</x:v>
      </x:c>
      <x:c r="E232" s="7" t="str">
        <x:v>golang-1.24</x:v>
      </x:c>
      <x:c r="F232" s="7" t="str">
        <x:v>1.24.6</x:v>
      </x:c>
      <x:c r="G232" s="7" t="str">
        <x:v>CWE-79</x:v>
      </x:c>
      <x:c r="H232" s="7" t="str">
        <x:v>CVE-2026-39823</x:v>
      </x:c>
      <x:c r="I232" s="7" t="n">
        <x:v>188</x:v>
      </x:c>
      <x:c r="J232" s="9" t="str">
        <x:v>PENDIENTE</x:v>
      </x:c>
      <x:c r="K232" s="10" t="n">
        <x:v>46645</x:v>
      </x:c>
      <x:c r="L232" s="7" t="str">
        <x:v>Avance 2027-09-15</x:v>
      </x:c>
      <x:c r="M232" s="8" t="str">
        <x:v>Actualizar imagen/base y validar compatibilidad en despliegue.</x:v>
      </x:c>
      <x:c r="N232" s="17"/>
      <x:c r="O232" s="17"/>
    </x:row>
    <x:row r="233" ht="15" hidden="0" customHeight="1">
      <x:c r="A233" s="7" t="str">
        <x:v>SIAJ-0422</x:v>
      </x:c>
      <x:c r="B233" s="7" t="str">
        <x:v>CONTAINER</x:v>
      </x:c>
      <x:c r="C233" s="7" t="str">
        <x:v>MEDIUM</x:v>
      </x:c>
      <x:c r="D233" s="8" t="str">
        <x:v>Contenedor golang-1.24-1.24.6</x:v>
      </x:c>
      <x:c r="E233" s="7" t="str">
        <x:v>golang-1.24</x:v>
      </x:c>
      <x:c r="F233" s="7" t="str">
        <x:v>1.24.6</x:v>
      </x:c>
      <x:c r="G233" s="7" t="str">
        <x:v>CWE-59</x:v>
      </x:c>
      <x:c r="H233" s="7" t="str">
        <x:v>CVE-2026-39819</x:v>
      </x:c>
      <x:c r="I233" s="7" t="n">
        <x:v>188</x:v>
      </x:c>
      <x:c r="J233" s="9" t="str">
        <x:v>PENDIENTE</x:v>
      </x:c>
      <x:c r="K233" s="10" t="n">
        <x:v>46645</x:v>
      </x:c>
      <x:c r="L233" s="7" t="str">
        <x:v>Avance 2027-09-15</x:v>
      </x:c>
      <x:c r="M233" s="8" t="str">
        <x:v>Actualizar imagen/base y validar compatibilidad en despliegue.</x:v>
      </x:c>
      <x:c r="N233" s="17"/>
      <x:c r="O233" s="17"/>
    </x:row>
    <x:row r="234" ht="15" hidden="0" customHeight="1">
      <x:c r="A234" s="7" t="str">
        <x:v>SIAJ-0423</x:v>
      </x:c>
      <x:c r="B234" s="7" t="str">
        <x:v>CONTAINER</x:v>
      </x:c>
      <x:c r="C234" s="7" t="str">
        <x:v>MEDIUM</x:v>
      </x:c>
      <x:c r="D234" s="8" t="str">
        <x:v>Contenedor golang-1.24-1.24.6</x:v>
      </x:c>
      <x:c r="E234" s="7" t="str">
        <x:v>golang-1.24</x:v>
      </x:c>
      <x:c r="F234" s="7" t="str">
        <x:v>1.24.6</x:v>
      </x:c>
      <x:c r="G234" s="7" t="str">
        <x:v>CWE-787</x:v>
      </x:c>
      <x:c r="H234" s="7" t="str">
        <x:v>CVE-2026-39817</x:v>
      </x:c>
      <x:c r="I234" s="7" t="n">
        <x:v>189</x:v>
      </x:c>
      <x:c r="J234" s="9" t="str">
        <x:v>PENDIENTE</x:v>
      </x:c>
      <x:c r="K234" s="10" t="n">
        <x:v>46645</x:v>
      </x:c>
      <x:c r="L234" s="7" t="str">
        <x:v>Avance 2027-09-15</x:v>
      </x:c>
      <x:c r="M234" s="8" t="str">
        <x:v>Actualizar imagen/base y validar compatibilidad en despliegue.</x:v>
      </x:c>
      <x:c r="N234" s="17"/>
      <x:c r="O234" s="17"/>
    </x:row>
    <x:row r="235" ht="15" hidden="0" customHeight="1">
      <x:c r="A235" s="7" t="str">
        <x:v>SIAJ-0500</x:v>
      </x:c>
      <x:c r="B235" s="7" t="str">
        <x:v>CONTAINER</x:v>
      </x:c>
      <x:c r="C235" s="7" t="str">
        <x:v>MEDIUM</x:v>
      </x:c>
      <x:c r="D235" s="8" t="str">
        <x:v>Contenedor krb5-1.21.3-5+deb13u1</x:v>
      </x:c>
      <x:c r="E235" s="7" t="str">
        <x:v>krb5</x:v>
      </x:c>
      <x:c r="F235" s="7" t="str">
        <x:v>1.21.3-5+deb13u1</x:v>
      </x:c>
      <x:c r="G235" s="7" t="str">
        <x:v>CWE-401</x:v>
      </x:c>
      <x:c r="H235" s="7" t="str">
        <x:v>CVE-2024-26458</x:v>
      </x:c>
      <x:c r="I235" s="7" t="n">
        <x:v>209</x:v>
      </x:c>
      <x:c r="J235" s="9" t="str">
        <x:v>PENDIENTE</x:v>
      </x:c>
      <x:c r="K235" s="10" t="n">
        <x:v>46645</x:v>
      </x:c>
      <x:c r="L235" s="7" t="str">
        <x:v>Avance 2027-09-15</x:v>
      </x:c>
      <x:c r="M235" s="8" t="str">
        <x:v>Actualizar imagen/base y validar compatibilidad en despliegue.</x:v>
      </x:c>
      <x:c r="N235" s="17"/>
      <x:c r="O235" s="17"/>
    </x:row>
    <x:row r="236" ht="15" hidden="0" customHeight="1">
      <x:c r="A236" s="7" t="str">
        <x:v>SIAJ-0501</x:v>
      </x:c>
      <x:c r="B236" s="7" t="str">
        <x:v>CONTAINER</x:v>
      </x:c>
      <x:c r="C236" s="7" t="str">
        <x:v>MEDIUM</x:v>
      </x:c>
      <x:c r="D236" s="8" t="str">
        <x:v>Contenedor krb5-1.21.3-5+deb13u1</x:v>
      </x:c>
      <x:c r="E236" s="7" t="str">
        <x:v>krb5</x:v>
      </x:c>
      <x:c r="F236" s="7" t="str">
        <x:v>1.21.3-5+deb13u1</x:v>
      </x:c>
      <x:c r="G236" s="7" t="str">
        <x:v>CWE-191</x:v>
      </x:c>
      <x:c r="H236" s="7" t="str">
        <x:v>CVE-2026-11850</x:v>
      </x:c>
      <x:c r="I236" s="7" t="n">
        <x:v>209</x:v>
      </x:c>
      <x:c r="J236" s="9" t="str">
        <x:v>PENDIENTE</x:v>
      </x:c>
      <x:c r="K236" s="10" t="n">
        <x:v>46645</x:v>
      </x:c>
      <x:c r="L236" s="7" t="str">
        <x:v>Avance 2027-09-15</x:v>
      </x:c>
      <x:c r="M236" s="8" t="str">
        <x:v>Actualizar imagen/base y validar compatibilidad en despliegue.</x:v>
      </x:c>
      <x:c r="N236" s="17"/>
      <x:c r="O236" s="17"/>
    </x:row>
    <x:row r="237" ht="15" hidden="0" customHeight="1">
      <x:c r="A237" s="7" t="str">
        <x:v>SIAJ-0434</x:v>
      </x:c>
      <x:c r="B237" s="7" t="str">
        <x:v>CONTAINER</x:v>
      </x:c>
      <x:c r="C237" s="7" t="str">
        <x:v>MEDIUM</x:v>
      </x:c>
      <x:c r="D237" s="8" t="str">
        <x:v>Contenedor libgcrypt20-1.11.0-7+deb13u1</x:v>
      </x:c>
      <x:c r="E237" s="7" t="str">
        <x:v>libgcrypt20</x:v>
      </x:c>
      <x:c r="F237" s="7" t="str">
        <x:v>1.11.0-7+deb13u1</x:v>
      </x:c>
      <x:c r="G237" s="7" t="str">
        <x:v>CWE-385</x:v>
      </x:c>
      <x:c r="H237" s="7" t="str">
        <x:v>CVE-2024-2236</x:v>
      </x:c>
      <x:c r="I237" s="7" t="n">
        <x:v>192</x:v>
      </x:c>
      <x:c r="J237" s="9" t="str">
        <x:v>PENDIENTE</x:v>
      </x:c>
      <x:c r="K237" s="10" t="n">
        <x:v>46645</x:v>
      </x:c>
      <x:c r="L237" s="7" t="str">
        <x:v>Avance 2027-09-15</x:v>
      </x:c>
      <x:c r="M237" s="8" t="str">
        <x:v>Actualizar imagen/base y validar compatibilidad en despliegue.</x:v>
      </x:c>
      <x:c r="N237" s="17"/>
      <x:c r="O237" s="17"/>
    </x:row>
    <x:row r="238" ht="15" hidden="0" customHeight="1">
      <x:c r="A238" s="7" t="str">
        <x:v>SIAJ-0508</x:v>
      </x:c>
      <x:c r="B238" s="7" t="str">
        <x:v>CONTAINER</x:v>
      </x:c>
      <x:c r="C238" s="7" t="str">
        <x:v>MEDIUM</x:v>
      </x:c>
      <x:c r="D238" s="8" t="str">
        <x:v>Contenedor libxslt-1.1.35-1.2+deb13u3</x:v>
      </x:c>
      <x:c r="E238" s="7" t="str">
        <x:v>libxslt</x:v>
      </x:c>
      <x:c r="F238" s="7" t="str">
        <x:v>1.1.35-1.2+deb13u3</x:v>
      </x:c>
      <x:c r="G238" s="7" t="str">
        <x:v>CWE-825</x:v>
      </x:c>
      <x:c r="H238" s="7" t="str">
        <x:v>CVE-2025-10911</x:v>
      </x:c>
      <x:c r="I238" s="7" t="n">
        <x:v>211</x:v>
      </x:c>
      <x:c r="J238" s="9" t="str">
        <x:v>PENDIENTE</x:v>
      </x:c>
      <x:c r="K238" s="10" t="n">
        <x:v>46645</x:v>
      </x:c>
      <x:c r="L238" s="7" t="str">
        <x:v>Avance 2027-09-15</x:v>
      </x:c>
      <x:c r="M238" s="8" t="str">
        <x:v>Actualizar imagen/base y validar compatibilidad en despliegue.</x:v>
      </x:c>
      <x:c r="N238" s="17"/>
      <x:c r="O238" s="17"/>
    </x:row>
    <x:row r="239" ht="15" hidden="0" customHeight="1">
      <x:c r="A239" s="7" t="str">
        <x:v>SIAJ-0509</x:v>
      </x:c>
      <x:c r="B239" s="7" t="str">
        <x:v>CONTAINER</x:v>
      </x:c>
      <x:c r="C239" s="7" t="str">
        <x:v>MEDIUM</x:v>
      </x:c>
      <x:c r="D239" s="8" t="str">
        <x:v>Contenedor libxslt-1.1.35-1.2+deb13u3</x:v>
      </x:c>
      <x:c r="E239" s="7" t="str">
        <x:v>libxslt</x:v>
      </x:c>
      <x:c r="F239" s="7" t="str">
        <x:v>1.1.35-1.2+deb13u3</x:v>
      </x:c>
      <x:c r="G239" s="7" t="str">
        <x:v>CWE-330</x:v>
      </x:c>
      <x:c r="H239" s="7" t="str">
        <x:v>CVE-2015-9019</x:v>
      </x:c>
      <x:c r="I239" s="7" t="n">
        <x:v>212</x:v>
      </x:c>
      <x:c r="J239" s="9" t="str">
        <x:v>PENDIENTE</x:v>
      </x:c>
      <x:c r="K239" s="10" t="n">
        <x:v>46645</x:v>
      </x:c>
      <x:c r="L239" s="7" t="str">
        <x:v>Avance 2027-09-15</x:v>
      </x:c>
      <x:c r="M239" s="8" t="str">
        <x:v>Actualizar imagen/base y validar compatibilidad en despliegue.</x:v>
      </x:c>
      <x:c r="N239" s="17"/>
      <x:c r="O239" s="17"/>
    </x:row>
    <x:row r="240" ht="15" hidden="0" customHeight="1">
      <x:c r="A240" s="7" t="str">
        <x:v>SIAJ-0481</x:v>
      </x:c>
      <x:c r="B240" s="7" t="str">
        <x:v>CONTAINER</x:v>
      </x:c>
      <x:c r="C240" s="7" t="str">
        <x:v>MEDIUM</x:v>
      </x:c>
      <x:c r="D240" s="8" t="str">
        <x:v>Contenedor ncurses-6.5+20250216-2</x:v>
      </x:c>
      <x:c r="E240" s="7" t="str">
        <x:v>ncurses</x:v>
      </x:c>
      <x:c r="F240" s="7" t="str">
        <x:v>6.5+20250216-2</x:v>
      </x:c>
      <x:c r="G240" s="7" t="str">
        <x:v>CWE-119</x:v>
      </x:c>
      <x:c r="H240" s="7" t="str">
        <x:v>CVE-2025-6141</x:v>
      </x:c>
      <x:c r="I240" s="7" t="n">
        <x:v>204</x:v>
      </x:c>
      <x:c r="J240" s="9" t="str">
        <x:v>PENDIENTE</x:v>
      </x:c>
      <x:c r="K240" s="10" t="n">
        <x:v>46645</x:v>
      </x:c>
      <x:c r="L240" s="7" t="str">
        <x:v>Avance 2027-09-15</x:v>
      </x:c>
      <x:c r="M240" s="8" t="str">
        <x:v>Actualizar imagen/base y validar compatibilidad en despliegue.</x:v>
      </x:c>
      <x:c r="N240" s="17"/>
      <x:c r="O240" s="17"/>
    </x:row>
    <x:row r="241" ht="15" hidden="0" customHeight="1">
      <x:c r="A241" s="7" t="str">
        <x:v>SIAJ-0504</x:v>
      </x:c>
      <x:c r="B241" s="7" t="str">
        <x:v>CONTAINER</x:v>
      </x:c>
      <x:c r="C241" s="7" t="str">
        <x:v>MEDIUM</x:v>
      </x:c>
      <x:c r="D241" s="8" t="str">
        <x:v>Contenedor openldap-2.6.10+dfsg-1</x:v>
      </x:c>
      <x:c r="E241" s="7" t="str">
        <x:v>openldap</x:v>
      </x:c>
      <x:c r="F241" s="7" t="str">
        <x:v>2.6.10+dfsg-1</x:v>
      </x:c>
      <x:c r="G241" s="7" t="str">
        <x:v>CWE-665</x:v>
      </x:c>
      <x:c r="H241" s="7" t="str">
        <x:v>CVE-2017-14159</x:v>
      </x:c>
      <x:c r="I241" s="7" t="n">
        <x:v>210</x:v>
      </x:c>
      <x:c r="J241" s="9" t="str">
        <x:v>PENDIENTE</x:v>
      </x:c>
      <x:c r="K241" s="10" t="n">
        <x:v>46645</x:v>
      </x:c>
      <x:c r="L241" s="7" t="str">
        <x:v>Avance 2027-09-15</x:v>
      </x:c>
      <x:c r="M241" s="8" t="str">
        <x:v>Actualizar imagen/base y validar compatibilidad en despliegue.</x:v>
      </x:c>
      <x:c r="N241" s="17"/>
      <x:c r="O241" s="17"/>
    </x:row>
    <x:row r="242" ht="15" hidden="0" customHeight="1">
      <x:c r="A242" s="7" t="str">
        <x:v>SIAJ-0505</x:v>
      </x:c>
      <x:c r="B242" s="7" t="str">
        <x:v>CONTAINER</x:v>
      </x:c>
      <x:c r="C242" s="7" t="str">
        <x:v>MEDIUM</x:v>
      </x:c>
      <x:c r="D242" s="8" t="str">
        <x:v>Contenedor openldap-2.6.10+dfsg-1</x:v>
      </x:c>
      <x:c r="E242" s="7" t="str">
        <x:v>openldap</x:v>
      </x:c>
      <x:c r="F242" s="7" t="str">
        <x:v>2.6.10+dfsg-1</x:v>
      </x:c>
      <x:c r="G242" s="7" t="str">
        <x:v>CWE-295</x:v>
      </x:c>
      <x:c r="H242" s="7" t="str">
        <x:v>CVE-2020-15719</x:v>
      </x:c>
      <x:c r="I242" s="7" t="n">
        <x:v>210</x:v>
      </x:c>
      <x:c r="J242" s="9" t="str">
        <x:v>PENDIENTE</x:v>
      </x:c>
      <x:c r="K242" s="10" t="n">
        <x:v>46645</x:v>
      </x:c>
      <x:c r="L242" s="7" t="str">
        <x:v>Avance 2027-09-15</x:v>
      </x:c>
      <x:c r="M242" s="8" t="str">
        <x:v>Actualizar imagen/base y validar compatibilidad en despliegue.</x:v>
      </x:c>
      <x:c r="N242" s="17"/>
      <x:c r="O242" s="17"/>
    </x:row>
    <x:row r="243" ht="15" hidden="0" customHeight="1">
      <x:c r="A243" s="7" t="str">
        <x:v>SIAJ-0506</x:v>
      </x:c>
      <x:c r="B243" s="7" t="str">
        <x:v>CONTAINER</x:v>
      </x:c>
      <x:c r="C243" s="7" t="str">
        <x:v>MEDIUM</x:v>
      </x:c>
      <x:c r="D243" s="8" t="str">
        <x:v>Contenedor openldap-2.6.10+dfsg-1</x:v>
      </x:c>
      <x:c r="E243" s="7" t="str">
        <x:v>openldap</x:v>
      </x:c>
      <x:c r="F243" s="7" t="str">
        <x:v>2.6.10+dfsg-1</x:v>
      </x:c>
      <x:c r="G243" s="7" t="str">
        <x:v>CWE-125</x:v>
      </x:c>
      <x:c r="H243" s="7" t="str">
        <x:v>CVE-2026-22185</x:v>
      </x:c>
      <x:c r="I243" s="7" t="n">
        <x:v>211</x:v>
      </x:c>
      <x:c r="J243" s="9" t="str">
        <x:v>PENDIENTE</x:v>
      </x:c>
      <x:c r="K243" s="10" t="n">
        <x:v>46645</x:v>
      </x:c>
      <x:c r="L243" s="7" t="str">
        <x:v>Avance 2027-09-15</x:v>
      </x:c>
      <x:c r="M243" s="8" t="str">
        <x:v>Actualizar imagen/base y validar compatibilidad en despliegue.</x:v>
      </x:c>
      <x:c r="N243" s="17"/>
      <x:c r="O243" s="17"/>
    </x:row>
    <x:row r="244" ht="15" hidden="0" customHeight="1">
      <x:c r="A244" s="7" t="str">
        <x:v>SIAJ-0447</x:v>
      </x:c>
      <x:c r="B244" s="7" t="str">
        <x:v>CONTAINER</x:v>
      </x:c>
      <x:c r="C244" s="7" t="str">
        <x:v>MEDIUM</x:v>
      </x:c>
      <x:c r="D244" s="8" t="str">
        <x:v>Contenedor openssl-3.5.6-1~deb13u2</x:v>
      </x:c>
      <x:c r="E244" s="7" t="str">
        <x:v>openssl</x:v>
      </x:c>
      <x:c r="F244" s="7" t="str">
        <x:v>3.5.6-1~deb13u2</x:v>
      </x:c>
      <x:c r="G244" s="7" t="str">
        <x:v>CWE-295</x:v>
      </x:c>
      <x:c r="H244" s="7" t="str">
        <x:v>CVE-2026-42769</x:v>
      </x:c>
      <x:c r="I244" s="7" t="n">
        <x:v>195</x:v>
      </x:c>
      <x:c r="J244" s="9" t="str">
        <x:v>PENDIENTE</x:v>
      </x:c>
      <x:c r="K244" s="10" t="n">
        <x:v>46645</x:v>
      </x:c>
      <x:c r="L244" s="7" t="str">
        <x:v>Avance 2027-09-15</x:v>
      </x:c>
      <x:c r="M244" s="8" t="str">
        <x:v>Actualizar imagen/base y validar compatibilidad en despliegue.</x:v>
      </x:c>
      <x:c r="N244" s="17"/>
      <x:c r="O244" s="17"/>
    </x:row>
    <x:row r="245" ht="15" hidden="0" customHeight="1">
      <x:c r="A245" s="7" t="str">
        <x:v>SIAJ-0448</x:v>
      </x:c>
      <x:c r="B245" s="7" t="str">
        <x:v>CONTAINER</x:v>
      </x:c>
      <x:c r="C245" s="7" t="str">
        <x:v>MEDIUM</x:v>
      </x:c>
      <x:c r="D245" s="8" t="str">
        <x:v>Contenedor openssl-3.5.6-1~deb13u2</x:v>
      </x:c>
      <x:c r="E245" s="7" t="str">
        <x:v>openssl</x:v>
      </x:c>
      <x:c r="F245" s="7" t="str">
        <x:v>3.5.6-1~deb13u2</x:v>
      </x:c>
      <x:c r="G245" s="7" t="str">
        <x:v>CWE-476</x:v>
      </x:c>
      <x:c r="H245" s="7" t="str">
        <x:v>CVE-2026-42767</x:v>
      </x:c>
      <x:c r="I245" s="7" t="n">
        <x:v>195</x:v>
      </x:c>
      <x:c r="J245" s="9" t="str">
        <x:v>PENDIENTE</x:v>
      </x:c>
      <x:c r="K245" s="10" t="n">
        <x:v>46645</x:v>
      </x:c>
      <x:c r="L245" s="7" t="str">
        <x:v>Avance 2027-09-15</x:v>
      </x:c>
      <x:c r="M245" s="8" t="str">
        <x:v>Actualizar imagen/base y validar compatibilidad en despliegue.</x:v>
      </x:c>
      <x:c r="N245" s="17"/>
      <x:c r="O245" s="17"/>
    </x:row>
    <x:row r="246" ht="15" hidden="0" customHeight="1">
      <x:c r="A246" s="7" t="str">
        <x:v>SIAJ-0449</x:v>
      </x:c>
      <x:c r="B246" s="7" t="str">
        <x:v>CONTAINER</x:v>
      </x:c>
      <x:c r="C246" s="7" t="str">
        <x:v>MEDIUM</x:v>
      </x:c>
      <x:c r="D246" s="8" t="str">
        <x:v>Contenedor openssl-3.5.6-1~deb13u2</x:v>
      </x:c>
      <x:c r="E246" s="7" t="str">
        <x:v>openssl</x:v>
      </x:c>
      <x:c r="F246" s="7" t="str">
        <x:v>3.5.6-1~deb13u2</x:v>
      </x:c>
      <x:c r="G246" s="7" t="str">
        <x:v>CWE-476</x:v>
      </x:c>
      <x:c r="H246" s="7" t="str">
        <x:v>CVE-2026-42766</x:v>
      </x:c>
      <x:c r="I246" s="7" t="n">
        <x:v>196</x:v>
      </x:c>
      <x:c r="J246" s="9" t="str">
        <x:v>PENDIENTE</x:v>
      </x:c>
      <x:c r="K246" s="10" t="n">
        <x:v>46645</x:v>
      </x:c>
      <x:c r="L246" s="7" t="str">
        <x:v>Avance 2027-09-15</x:v>
      </x:c>
      <x:c r="M246" s="8" t="str">
        <x:v>Actualizar imagen/base y validar compatibilidad en despliegue.</x:v>
      </x:c>
      <x:c r="N246" s="17"/>
      <x:c r="O246" s="17"/>
    </x:row>
    <x:row r="247" ht="15" hidden="0" customHeight="1">
      <x:c r="A247" s="7" t="str">
        <x:v>SIAJ-0450</x:v>
      </x:c>
      <x:c r="B247" s="7" t="str">
        <x:v>CONTAINER</x:v>
      </x:c>
      <x:c r="C247" s="7" t="str">
        <x:v>MEDIUM</x:v>
      </x:c>
      <x:c r="D247" s="8" t="str">
        <x:v>Contenedor openssl-3.5.6-1~deb13u2</x:v>
      </x:c>
      <x:c r="E247" s="7" t="str">
        <x:v>openssl</x:v>
      </x:c>
      <x:c r="F247" s="7" t="str">
        <x:v>3.5.6-1~deb13u2</x:v>
      </x:c>
      <x:c r="G247" s="7" t="str">
        <x:v>CWE-325</x:v>
      </x:c>
      <x:c r="H247" s="7" t="str">
        <x:v>CVE-2026-45446</x:v>
      </x:c>
      <x:c r="I247" s="7" t="n">
        <x:v>196</x:v>
      </x:c>
      <x:c r="J247" s="9" t="str">
        <x:v>PENDIENTE</x:v>
      </x:c>
      <x:c r="K247" s="10" t="n">
        <x:v>46645</x:v>
      </x:c>
      <x:c r="L247" s="7" t="str">
        <x:v>Avance 2027-09-15</x:v>
      </x:c>
      <x:c r="M247" s="8" t="str">
        <x:v>Actualizar imagen/base y validar compatibilidad en despliegue.</x:v>
      </x:c>
      <x:c r="N247" s="17"/>
      <x:c r="O247" s="17"/>
    </x:row>
    <x:row r="248" ht="15" hidden="0" customHeight="1">
      <x:c r="A248" s="7" t="str">
        <x:v>SIAJ-0507</x:v>
      </x:c>
      <x:c r="B248" s="7" t="str">
        <x:v>CONTAINER</x:v>
      </x:c>
      <x:c r="C248" s="7" t="str">
        <x:v>MEDIUM</x:v>
      </x:c>
      <x:c r="D248" s="8" t="str">
        <x:v>Contenedor p11-kit-0.25.5-3</x:v>
      </x:c>
      <x:c r="E248" s="7" t="str">
        <x:v>p11-kit</x:v>
      </x:c>
      <x:c r="F248" s="7" t="str">
        <x:v>0.25.5-3</x:v>
      </x:c>
      <x:c r="G248" s="7" t="str">
        <x:v>CWE-674</x:v>
      </x:c>
      <x:c r="H248" s="7" t="str">
        <x:v>CVE-2026-13757</x:v>
      </x:c>
      <x:c r="I248" s="7" t="n">
        <x:v>211</x:v>
      </x:c>
      <x:c r="J248" s="9" t="str">
        <x:v>PENDIENTE</x:v>
      </x:c>
      <x:c r="K248" s="10" t="n">
        <x:v>46645</x:v>
      </x:c>
      <x:c r="L248" s="7" t="str">
        <x:v>Avance 2027-09-15</x:v>
      </x:c>
      <x:c r="M248" s="8" t="str">
        <x:v>Actualizar imagen/base y validar compatibilidad en despliegue.</x:v>
      </x:c>
      <x:c r="N248" s="17"/>
      <x:c r="O248" s="17"/>
    </x:row>
    <x:row r="249" ht="15" hidden="0" customHeight="1">
      <x:c r="A249" s="7" t="str">
        <x:v>SIAJ-0482</x:v>
      </x:c>
      <x:c r="B249" s="7" t="str">
        <x:v>CONTAINER</x:v>
      </x:c>
      <x:c r="C249" s="7" t="str">
        <x:v>MEDIUM</x:v>
      </x:c>
      <x:c r="D249" s="8" t="str">
        <x:v>Contenedor pam-1.7.0-5</x:v>
      </x:c>
      <x:c r="E249" s="7" t="str">
        <x:v>pam</x:v>
      </x:c>
      <x:c r="F249" s="7" t="str">
        <x:v>1.7.0-5</x:v>
      </x:c>
      <x:c r="G249" s="7" t="str">
        <x:v>CWE-208</x:v>
      </x:c>
      <x:c r="H249" s="7" t="str">
        <x:v>CVE-2026-54411</x:v>
      </x:c>
      <x:c r="I249" s="7" t="n">
        <x:v>204</x:v>
      </x:c>
      <x:c r="J249" s="9" t="str">
        <x:v>PENDIENTE</x:v>
      </x:c>
      <x:c r="K249" s="10" t="n">
        <x:v>46645</x:v>
      </x:c>
      <x:c r="L249" s="7" t="str">
        <x:v>Avance 2027-09-15</x:v>
      </x:c>
      <x:c r="M249" s="8" t="str">
        <x:v>Actualizar imagen/base y validar compatibilidad en despliegue.</x:v>
      </x:c>
      <x:c r="N249" s="17"/>
      <x:c r="O249" s="17"/>
    </x:row>
    <x:row r="250" ht="15" hidden="0" customHeight="1">
      <x:c r="A250" s="7" t="str">
        <x:v>SIAJ-0463</x:v>
      </x:c>
      <x:c r="B250" s="7" t="str">
        <x:v>CONTAINER</x:v>
      </x:c>
      <x:c r="C250" s="7" t="str">
        <x:v>MEDIUM</x:v>
      </x:c>
      <x:c r="D250" s="8" t="str">
        <x:v>Contenedor perl-5.40.1-6</x:v>
      </x:c>
      <x:c r="E250" s="7" t="str">
        <x:v>perl</x:v>
      </x:c>
      <x:c r="F250" s="7" t="str">
        <x:v>5.40.1-6</x:v>
      </x:c>
      <x:c r="G250" s="7" t="str">
        <x:v>CWE-113</x:v>
      </x:c>
      <x:c r="H250" s="7" t="str">
        <x:v>CVE-2026-7010</x:v>
      </x:c>
      <x:c r="I250" s="7" t="n">
        <x:v>199</x:v>
      </x:c>
      <x:c r="J250" s="9" t="str">
        <x:v>PENDIENTE</x:v>
      </x:c>
      <x:c r="K250" s="10" t="n">
        <x:v>46675</x:v>
      </x:c>
      <x:c r="L250" s="7" t="str">
        <x:v>Avance 2027-10-15</x:v>
      </x:c>
      <x:c r="M250" s="8" t="str">
        <x:v>Actualizar imagen/base y validar compatibilidad en despliegue.</x:v>
      </x:c>
      <x:c r="N250" s="17"/>
      <x:c r="O250" s="17"/>
    </x:row>
    <x:row r="251" ht="15" hidden="0" customHeight="1">
      <x:c r="A251" s="7" t="str">
        <x:v>SIAJ-0464</x:v>
      </x:c>
      <x:c r="B251" s="7" t="str">
        <x:v>CONTAINER</x:v>
      </x:c>
      <x:c r="C251" s="7" t="str">
        <x:v>MEDIUM</x:v>
      </x:c>
      <x:c r="D251" s="8" t="str">
        <x:v>Contenedor perl-5.40.1-6</x:v>
      </x:c>
      <x:c r="E251" s="7" t="str">
        <x:v>perl</x:v>
      </x:c>
      <x:c r="F251" s="7" t="str">
        <x:v>5.40.1-6</x:v>
      </x:c>
      <x:c r="G251" s="7" t="str">
        <x:v>CWE-248</x:v>
      </x:c>
      <x:c r="H251" s="7" t="str">
        <x:v>CVE-2025-15649</x:v>
      </x:c>
      <x:c r="I251" s="7" t="n">
        <x:v>200</x:v>
      </x:c>
      <x:c r="J251" s="9" t="str">
        <x:v>PENDIENTE</x:v>
      </x:c>
      <x:c r="K251" s="10" t="n">
        <x:v>46675</x:v>
      </x:c>
      <x:c r="L251" s="7" t="str">
        <x:v>Avance 2027-10-15</x:v>
      </x:c>
      <x:c r="M251" s="8" t="str">
        <x:v>Actualizar imagen/base y validar compatibilidad en despliegue.</x:v>
      </x:c>
      <x:c r="N251" s="17"/>
      <x:c r="O251" s="17"/>
    </x:row>
    <x:row r="252" ht="15" hidden="0" customHeight="1">
      <x:c r="A252" s="7" t="str">
        <x:v>SIAJ-0493</x:v>
      </x:c>
      <x:c r="B252" s="7" t="str">
        <x:v>CONTAINER</x:v>
      </x:c>
      <x:c r="C252" s="7" t="str">
        <x:v>MEDIUM</x:v>
      </x:c>
      <x:c r="D252" s="8" t="str">
        <x:v>Contenedor shadow-1:4.17.4-2</x:v>
      </x:c>
      <x:c r="E252" s="7" t="str">
        <x:v>shadow</x:v>
      </x:c>
      <x:c r="F252" s="7" t="str">
        <x:v>1:4.17.4-2</x:v>
      </x:c>
      <x:c r="G252" s="7" t="str">
        <x:v>CWE-264</x:v>
      </x:c>
      <x:c r="H252" s="7" t="str">
        <x:v>CVE-2007-5686</x:v>
      </x:c>
      <x:c r="I252" s="7" t="n">
        <x:v>207</x:v>
      </x:c>
      <x:c r="J252" s="9" t="str">
        <x:v>PENDIENTE</x:v>
      </x:c>
      <x:c r="K252" s="10" t="n">
        <x:v>46675</x:v>
      </x:c>
      <x:c r="L252" s="7" t="str">
        <x:v>Avance 2027-10-15</x:v>
      </x:c>
      <x:c r="M252" s="8" t="str">
        <x:v>Actualizar imagen/base y validar compatibilidad en despliegue.</x:v>
      </x:c>
      <x:c r="N252" s="17"/>
      <x:c r="O252" s="17"/>
    </x:row>
    <x:row r="253" ht="15" hidden="0" customHeight="1">
      <x:c r="A253" s="7" t="str">
        <x:v>SIAJ-0486</x:v>
      </x:c>
      <x:c r="B253" s="7" t="str">
        <x:v>CONTAINER</x:v>
      </x:c>
      <x:c r="C253" s="7" t="str">
        <x:v>MEDIUM</x:v>
      </x:c>
      <x:c r="D253" s="8" t="str">
        <x:v>Contenedor sqlite3-3.46.1-7+deb13u1</x:v>
      </x:c>
      <x:c r="E253" s="7" t="str">
        <x:v>sqlite3</x:v>
      </x:c>
      <x:c r="F253" s="7" t="str">
        <x:v>3.46.1-7+deb13u1</x:v>
      </x:c>
      <x:c r="G253" s="7" t="str">
        <x:v>CWE-401</x:v>
      </x:c>
      <x:c r="H253" s="7" t="str">
        <x:v>CVE-2021-45346</x:v>
      </x:c>
      <x:c r="I253" s="7" t="n">
        <x:v>205</x:v>
      </x:c>
      <x:c r="J253" s="9" t="str">
        <x:v>PENDIENTE</x:v>
      </x:c>
      <x:c r="K253" s="10" t="n">
        <x:v>46675</x:v>
      </x:c>
      <x:c r="L253" s="7" t="str">
        <x:v>Avance 2027-10-15</x:v>
      </x:c>
      <x:c r="M253" s="8" t="str">
        <x:v>Actualizar imagen/base y validar compatibilidad en despliegue.</x:v>
      </x:c>
      <x:c r="N253" s="17"/>
      <x:c r="O253" s="17"/>
    </x:row>
    <x:row r="254" ht="15" hidden="0" customHeight="1">
      <x:c r="A254" s="7" t="str">
        <x:v>SIAJ-0487</x:v>
      </x:c>
      <x:c r="B254" s="7" t="str">
        <x:v>CONTAINER</x:v>
      </x:c>
      <x:c r="C254" s="7" t="str">
        <x:v>MEDIUM</x:v>
      </x:c>
      <x:c r="D254" s="8" t="str">
        <x:v>Contenedor sqlite3-3.46.1-7+deb13u1</x:v>
      </x:c>
      <x:c r="E254" s="7" t="str">
        <x:v>sqlite3</x:v>
      </x:c>
      <x:c r="F254" s="7" t="str">
        <x:v>3.46.1-7+deb13u1</x:v>
      </x:c>
      <x:c r="G254" s="7" t="str">
        <x:v>CWE-126</x:v>
      </x:c>
      <x:c r="H254" s="7" t="str">
        <x:v>CVE-2026-50813</x:v>
      </x:c>
      <x:c r="I254" s="7" t="n">
        <x:v>206</x:v>
      </x:c>
      <x:c r="J254" s="9" t="str">
        <x:v>PENDIENTE</x:v>
      </x:c>
      <x:c r="K254" s="10" t="n">
        <x:v>46675</x:v>
      </x:c>
      <x:c r="L254" s="7" t="str">
        <x:v>Avance 2027-10-15</x:v>
      </x:c>
      <x:c r="M254" s="8" t="str">
        <x:v>Actualizar imagen/base y validar compatibilidad en despliegue.</x:v>
      </x:c>
      <x:c r="N254" s="17"/>
      <x:c r="O254" s="17"/>
    </x:row>
    <x:row r="255" ht="15" hidden="0" customHeight="1">
      <x:c r="A255" s="7" t="str">
        <x:v>SIAJ-0488</x:v>
      </x:c>
      <x:c r="B255" s="7" t="str">
        <x:v>CONTAINER</x:v>
      </x:c>
      <x:c r="C255" s="7" t="str">
        <x:v>MEDIUM</x:v>
      </x:c>
      <x:c r="D255" s="8" t="str">
        <x:v>Contenedor sqlite3-3.46.1-7+deb13u1</x:v>
      </x:c>
      <x:c r="E255" s="7" t="str">
        <x:v>sqlite3</x:v>
      </x:c>
      <x:c r="F255" s="7" t="str">
        <x:v>3.46.1-7+deb13u1</x:v>
      </x:c>
      <x:c r="G255" s="7" t="str">
        <x:v>CWE-476</x:v>
      </x:c>
      <x:c r="H255" s="7" t="str">
        <x:v>CVE-2026-50812</x:v>
      </x:c>
      <x:c r="I255" s="7" t="n">
        <x:v>206</x:v>
      </x:c>
      <x:c r="J255" s="9" t="str">
        <x:v>PENDIENTE</x:v>
      </x:c>
      <x:c r="K255" s="10" t="n">
        <x:v>46675</x:v>
      </x:c>
      <x:c r="L255" s="7" t="str">
        <x:v>Avance 2027-10-15</x:v>
      </x:c>
      <x:c r="M255" s="8" t="str">
        <x:v>Actualizar imagen/base y validar compatibilidad en despliegue.</x:v>
      </x:c>
      <x:c r="N255" s="17"/>
      <x:c r="O255" s="17"/>
    </x:row>
    <x:row r="256" ht="15" hidden="0" customHeight="1">
      <x:c r="A256" s="7" t="str">
        <x:v>SIAJ-0489</x:v>
      </x:c>
      <x:c r="B256" s="7" t="str">
        <x:v>CONTAINER</x:v>
      </x:c>
      <x:c r="C256" s="7" t="str">
        <x:v>MEDIUM</x:v>
      </x:c>
      <x:c r="D256" s="8" t="str">
        <x:v>Contenedor systemd-257.13-1~deb13u1</x:v>
      </x:c>
      <x:c r="E256" s="7" t="str">
        <x:v>systemd</x:v>
      </x:c>
      <x:c r="F256" s="7" t="str">
        <x:v>257.13-1~deb13u1</x:v>
      </x:c>
      <x:c r="G256" s="7" t="str">
        <x:v>CWE-59</x:v>
      </x:c>
      <x:c r="H256" s="7" t="str">
        <x:v>CVE-2013-4392</x:v>
      </x:c>
      <x:c r="I256" s="7" t="n">
        <x:v>206</x:v>
      </x:c>
      <x:c r="J256" s="9" t="str">
        <x:v>PENDIENTE</x:v>
      </x:c>
      <x:c r="K256" s="10" t="n">
        <x:v>46675</x:v>
      </x:c>
      <x:c r="L256" s="7" t="str">
        <x:v>Avance 2027-10-15</x:v>
      </x:c>
      <x:c r="M256" s="8" t="str">
        <x:v>Actualizar imagen/base y validar compatibilidad en despliegue.</x:v>
      </x:c>
      <x:c r="N256" s="17"/>
      <x:c r="O256" s="17"/>
    </x:row>
    <x:row r="257" ht="15" hidden="0" customHeight="1">
      <x:c r="A257" s="7" t="str">
        <x:v>SIAJ-0490</x:v>
      </x:c>
      <x:c r="B257" s="7" t="str">
        <x:v>CONTAINER</x:v>
      </x:c>
      <x:c r="C257" s="7" t="str">
        <x:v>MEDIUM</x:v>
      </x:c>
      <x:c r="D257" s="8" t="str">
        <x:v>Contenedor systemd-257.13-1~deb13u1</x:v>
      </x:c>
      <x:c r="E257" s="7" t="str">
        <x:v>systemd</x:v>
      </x:c>
      <x:c r="F257" s="7" t="str">
        <x:v>257.13-1~deb13u1</x:v>
      </x:c>
      <x:c r="G257" s="7" t="str">
        <x:v>CWE-354</x:v>
      </x:c>
      <x:c r="H257" s="7" t="str">
        <x:v>CVE-2023-31437</x:v>
      </x:c>
      <x:c r="I257" s="7" t="n">
        <x:v>207</x:v>
      </x:c>
      <x:c r="J257" s="9" t="str">
        <x:v>PENDIENTE</x:v>
      </x:c>
      <x:c r="K257" s="10" t="n">
        <x:v>46675</x:v>
      </x:c>
      <x:c r="L257" s="7" t="str">
        <x:v>Avance 2027-10-15</x:v>
      </x:c>
      <x:c r="M257" s="8" t="str">
        <x:v>Actualizar imagen/base y validar compatibilidad en despliegue.</x:v>
      </x:c>
      <x:c r="N257" s="17"/>
      <x:c r="O257" s="17"/>
    </x:row>
    <x:row r="258" ht="15" hidden="0" customHeight="1">
      <x:c r="A258" s="7" t="str">
        <x:v>SIAJ-0491</x:v>
      </x:c>
      <x:c r="B258" s="7" t="str">
        <x:v>CONTAINER</x:v>
      </x:c>
      <x:c r="C258" s="7" t="str">
        <x:v>MEDIUM</x:v>
      </x:c>
      <x:c r="D258" s="8" t="str">
        <x:v>Contenedor systemd-257.13-1~deb13u1</x:v>
      </x:c>
      <x:c r="E258" s="7" t="str">
        <x:v>systemd</x:v>
      </x:c>
      <x:c r="F258" s="7" t="str">
        <x:v>257.13-1~deb13u1</x:v>
      </x:c>
      <x:c r="G258" s="7" t="str">
        <x:v>CWE-354</x:v>
      </x:c>
      <x:c r="H258" s="7" t="str">
        <x:v>CVE-2023-31438</x:v>
      </x:c>
      <x:c r="I258" s="7" t="n">
        <x:v>207</x:v>
      </x:c>
      <x:c r="J258" s="9" t="str">
        <x:v>PENDIENTE</x:v>
      </x:c>
      <x:c r="K258" s="10" t="n">
        <x:v>46675</x:v>
      </x:c>
      <x:c r="L258" s="7" t="str">
        <x:v>Avance 2027-10-15</x:v>
      </x:c>
      <x:c r="M258" s="8" t="str">
        <x:v>Actualizar imagen/base y validar compatibilidad en despliegue.</x:v>
      </x:c>
      <x:c r="N258" s="17"/>
      <x:c r="O258" s="17"/>
    </x:row>
    <x:row r="259" ht="15" hidden="0" customHeight="1">
      <x:c r="A259" s="7" t="str">
        <x:v>SIAJ-0492</x:v>
      </x:c>
      <x:c r="B259" s="7" t="str">
        <x:v>CONTAINER</x:v>
      </x:c>
      <x:c r="C259" s="7" t="str">
        <x:v>MEDIUM</x:v>
      </x:c>
      <x:c r="D259" s="8" t="str">
        <x:v>Contenedor systemd-257.13-1~deb13u1</x:v>
      </x:c>
      <x:c r="E259" s="7" t="str">
        <x:v>systemd</x:v>
      </x:c>
      <x:c r="F259" s="7" t="str">
        <x:v>257.13-1~deb13u1</x:v>
      </x:c>
      <x:c r="G259" s="7" t="str">
        <x:v>CWE-354</x:v>
      </x:c>
      <x:c r="H259" s="7" t="str">
        <x:v>CVE-2023-31439</x:v>
      </x:c>
      <x:c r="I259" s="7" t="n">
        <x:v>207</x:v>
      </x:c>
      <x:c r="J259" s="9" t="str">
        <x:v>PENDIENTE</x:v>
      </x:c>
      <x:c r="K259" s="10" t="n">
        <x:v>46675</x:v>
      </x:c>
      <x:c r="L259" s="7" t="str">
        <x:v>Avance 2027-10-15</x:v>
      </x:c>
      <x:c r="M259" s="8" t="str">
        <x:v>Actualizar imagen/base y validar compatibilidad en despliegue.</x:v>
      </x:c>
      <x:c r="N259" s="17"/>
      <x:c r="O259" s="17"/>
    </x:row>
    <x:row r="260" ht="15" hidden="0" customHeight="1">
      <x:c r="A260" s="7" t="str">
        <x:v>SIAJ-0428</x:v>
      </x:c>
      <x:c r="B260" s="7" t="str">
        <x:v>CONTAINER</x:v>
      </x:c>
      <x:c r="C260" s="7" t="str">
        <x:v>MEDIUM</x:v>
      </x:c>
      <x:c r="D260" s="8" t="str">
        <x:v>Contenedor tar-1.35+dfsg-3.1</x:v>
      </x:c>
      <x:c r="E260" s="7" t="str">
        <x:v>tar</x:v>
      </x:c>
      <x:c r="F260" s="7" t="str">
        <x:v>1.35+dfsg-3.1</x:v>
      </x:c>
      <x:c r="G260" s="7" t="str">
        <x:v>CWE-434</x:v>
      </x:c>
      <x:c r="H260" s="7" t="str">
        <x:v>CVE-2026-5704</x:v>
      </x:c>
      <x:c r="I260" s="7" t="n">
        <x:v>190</x:v>
      </x:c>
      <x:c r="J260" s="9" t="str">
        <x:v>PENDIENTE</x:v>
      </x:c>
      <x:c r="K260" s="10" t="n">
        <x:v>46675</x:v>
      </x:c>
      <x:c r="L260" s="7" t="str">
        <x:v>Avance 2027-10-15</x:v>
      </x:c>
      <x:c r="M260" s="8" t="str">
        <x:v>Actualizar imagen/base y validar compatibilidad en despliegue.</x:v>
      </x:c>
      <x:c r="N260" s="17"/>
      <x:c r="O260" s="17"/>
    </x:row>
    <x:row r="261" ht="15" hidden="0" customHeight="1">
      <x:c r="A261" s="7" t="str">
        <x:v>SIAJ-0429</x:v>
      </x:c>
      <x:c r="B261" s="7" t="str">
        <x:v>CONTAINER</x:v>
      </x:c>
      <x:c r="C261" s="7" t="str">
        <x:v>MEDIUM</x:v>
      </x:c>
      <x:c r="D261" s="8" t="str">
        <x:v>Contenedor util-linux-2.41-5</x:v>
      </x:c>
      <x:c r="E261" s="7" t="str">
        <x:v>util-linux</x:v>
      </x:c>
      <x:c r="F261" s="7" t="str">
        <x:v>2.41-5</x:v>
      </x:c>
      <x:c r="G261" s="7" t="str">
        <x:v>CWE-416</x:v>
      </x:c>
      <x:c r="H261" s="7" t="str">
        <x:v>CVE-2026-13595</x:v>
      </x:c>
      <x:c r="I261" s="7" t="n">
        <x:v>190</x:v>
      </x:c>
      <x:c r="J261" s="9" t="str">
        <x:v>PENDIENTE</x:v>
      </x:c>
      <x:c r="K261" s="10" t="n">
        <x:v>46675</x:v>
      </x:c>
      <x:c r="L261" s="7" t="str">
        <x:v>Avance 2027-10-15</x:v>
      </x:c>
      <x:c r="M261" s="8" t="str">
        <x:v>Actualizar imagen/base y validar compatibilidad en despliegue.</x:v>
      </x:c>
      <x:c r="N261" s="17"/>
      <x:c r="O261" s="17"/>
    </x:row>
    <x:row r="262" ht="15" hidden="0" customHeight="1">
      <x:c r="A262" s="7" t="str">
        <x:v>SIAJ-0430</x:v>
      </x:c>
      <x:c r="B262" s="7" t="str">
        <x:v>CONTAINER</x:v>
      </x:c>
      <x:c r="C262" s="7" t="str">
        <x:v>MEDIUM</x:v>
      </x:c>
      <x:c r="D262" s="8" t="str">
        <x:v>Contenedor util-linux-2.41-5</x:v>
      </x:c>
      <x:c r="E262" s="7" t="str">
        <x:v>util-linux</x:v>
      </x:c>
      <x:c r="F262" s="7" t="str">
        <x:v>2.41-5</x:v>
      </x:c>
      <x:c r="G262" s="7" t="str">
        <x:v>CWE-209</x:v>
      </x:c>
      <x:c r="H262" s="7" t="str">
        <x:v>CVE-2022-0563</x:v>
      </x:c>
      <x:c r="I262" s="7" t="n">
        <x:v>191</x:v>
      </x:c>
      <x:c r="J262" s="9" t="str">
        <x:v>PENDIENTE</x:v>
      </x:c>
      <x:c r="K262" s="10" t="n">
        <x:v>46675</x:v>
      </x:c>
      <x:c r="L262" s="7" t="str">
        <x:v>Avance 2027-10-15</x:v>
      </x:c>
      <x:c r="M262" s="8" t="str">
        <x:v>Actualizar imagen/base y validar compatibilidad en despliegue.</x:v>
      </x:c>
      <x:c r="N262" s="17"/>
      <x:c r="O262" s="17"/>
    </x:row>
    <x:row r="263" ht="15" hidden="0" customHeight="1">
      <x:c r="A263" s="7" t="str">
        <x:v>SIAJ-0431</x:v>
      </x:c>
      <x:c r="B263" s="7" t="str">
        <x:v>CONTAINER</x:v>
      </x:c>
      <x:c r="C263" s="7" t="str">
        <x:v>MEDIUM</x:v>
      </x:c>
      <x:c r="D263" s="8" t="str">
        <x:v>Contenedor util-linux-2.41-5</x:v>
      </x:c>
      <x:c r="E263" s="7" t="str">
        <x:v>util-linux</x:v>
      </x:c>
      <x:c r="F263" s="7" t="str">
        <x:v>2.41-5</x:v>
      </x:c>
      <x:c r="G263" s="7" t="str">
        <x:v>CWE-125</x:v>
      </x:c>
      <x:c r="H263" s="7" t="str">
        <x:v>CVE-2025-14104</x:v>
      </x:c>
      <x:c r="I263" s="7" t="n">
        <x:v>191</x:v>
      </x:c>
      <x:c r="J263" s="9" t="str">
        <x:v>PENDIENTE</x:v>
      </x:c>
      <x:c r="K263" s="10" t="n">
        <x:v>46675</x:v>
      </x:c>
      <x:c r="L263" s="7" t="str">
        <x:v>Avance 2027-10-15</x:v>
      </x:c>
      <x:c r="M263" s="8" t="str">
        <x:v>Actualizar imagen/base y validar compatibilidad en despliegue.</x:v>
      </x:c>
      <x:c r="N263" s="17"/>
      <x:c r="O263" s="17"/>
    </x:row>
    <x:row r="264" ht="15" hidden="0" customHeight="1">
      <x:c r="A264" s="7" t="str">
        <x:v>SIAJ-0432</x:v>
      </x:c>
      <x:c r="B264" s="7" t="str">
        <x:v>CONTAINER</x:v>
      </x:c>
      <x:c r="C264" s="7" t="str">
        <x:v>MEDIUM</x:v>
      </x:c>
      <x:c r="D264" s="8" t="str">
        <x:v>Contenedor util-linux-2.41-5</x:v>
      </x:c>
      <x:c r="E264" s="7" t="str">
        <x:v>util-linux</x:v>
      </x:c>
      <x:c r="F264" s="7" t="str">
        <x:v>2.41-5</x:v>
      </x:c>
      <x:c r="G264" s="7" t="str">
        <x:v>CWE-59</x:v>
      </x:c>
      <x:c r="H264" s="7" t="str">
        <x:v>CVE-2026-27456</x:v>
      </x:c>
      <x:c r="I264" s="7" t="n">
        <x:v>191</x:v>
      </x:c>
      <x:c r="J264" s="9" t="str">
        <x:v>PENDIENTE</x:v>
      </x:c>
      <x:c r="K264" s="10" t="n">
        <x:v>46675</x:v>
      </x:c>
      <x:c r="L264" s="7" t="str">
        <x:v>Avance 2027-10-15</x:v>
      </x:c>
      <x:c r="M264" s="8" t="str">
        <x:v>Actualizar imagen/base y validar compatibilidad en despliegue.</x:v>
      </x:c>
      <x:c r="N264" s="17"/>
      <x:c r="O264" s="17"/>
    </x:row>
    <x:row r="265" ht="15" hidden="0" customHeight="1">
      <x:c r="A265" s="7" t="str">
        <x:v>SIAJ-0494</x:v>
      </x:c>
      <x:c r="B265" s="7" t="str">
        <x:v>CONTAINER</x:v>
      </x:c>
      <x:c r="C265" s="7" t="str">
        <x:v>MEDIUM</x:v>
      </x:c>
      <x:c r="D265" s="8" t="str">
        <x:v>Contenedor zlib-1:1.3.dfsg+really1.3.1-1</x:v>
      </x:c>
      <x:c r="E265" s="7" t="str">
        <x:v>zlib</x:v>
      </x:c>
      <x:c r="F265" s="7" t="str">
        <x:v>1:1.3.dfsg+really1.3.1-1</x:v>
      </x:c>
      <x:c r="G265" s="7" t="str">
        <x:v>CWE-1284</x:v>
      </x:c>
      <x:c r="H265" s="7" t="str">
        <x:v>CVE-2026-27171</x:v>
      </x:c>
      <x:c r="I265" s="7" t="n">
        <x:v>208</x:v>
      </x:c>
      <x:c r="J265" s="9" t="str">
        <x:v>PENDIENTE</x:v>
      </x:c>
      <x:c r="K265" s="10" t="n">
        <x:v>46675</x:v>
      </x:c>
      <x:c r="L265" s="7" t="str">
        <x:v>Avance 2027-10-15</x:v>
      </x:c>
      <x:c r="M265" s="8" t="str">
        <x:v>Actualizar imagen/base y validar compatibilidad en despliegue.</x:v>
      </x:c>
      <x:c r="N265" s="17"/>
      <x:c r="O265" s="17"/>
    </x:row>
    <x:row r="266" ht="15" hidden="0" customHeight="1">
      <x:c r="A266" s="7" t="str">
        <x:v>SIAJ-0016</x:v>
      </x:c>
      <x:c r="B266" s="7" t="str">
        <x:v>SAST</x:v>
      </x:c>
      <x:c r="C266" s="7" t="str">
        <x:v>MEDIUM</x:v>
      </x:c>
      <x:c r="D266" s="8" t="str">
        <x:v>Parameter_Tampering 1/196</x:v>
      </x:c>
      <x:c r="E266" s="7" t="str">
        <x:v>Código fuente Java</x:v>
      </x:c>
      <x:c r="F266" s="7" t="str"/>
      <x:c r="G266" s="7" t="str">
        <x:v>CWE-472</x:v>
      </x:c>
      <x:c r="H266" s="7" t="str"/>
      <x:c r="I266" s="7" t="n">
        <x:v>20</x:v>
      </x:c>
      <x:c r="J266" s="9" t="str">
        <x:v>PENDIENTE</x:v>
      </x:c>
      <x:c r="K266" s="10" t="n">
        <x:v>46675</x:v>
      </x:c>
      <x:c r="L266" s="7" t="str">
        <x:v>Avance 2027-10-15</x:v>
      </x:c>
      <x:c r="M266" s="8" t="str">
        <x:v>Validar aplicabilidad antes de remediar.</x:v>
      </x:c>
      <x:c r="N266" s="17"/>
      <x:c r="O266" s="17"/>
    </x:row>
    <x:row r="267" ht="15" hidden="0" customHeight="1">
      <x:c r="A267" s="7" t="str">
        <x:v>SIAJ-0025</x:v>
      </x:c>
      <x:c r="B267" s="7" t="str">
        <x:v>SAST</x:v>
      </x:c>
      <x:c r="C267" s="7" t="str">
        <x:v>MEDIUM</x:v>
      </x:c>
      <x:c r="D267" s="8" t="str">
        <x:v>Parameter_Tampering 10/196</x:v>
      </x:c>
      <x:c r="E267" s="7" t="str">
        <x:v>Código fuente Java</x:v>
      </x:c>
      <x:c r="F267" s="7" t="str"/>
      <x:c r="G267" s="7" t="str">
        <x:v>CWE-472</x:v>
      </x:c>
      <x:c r="H267" s="7" t="str"/>
      <x:c r="I267" s="7" t="n">
        <x:v>20</x:v>
      </x:c>
      <x:c r="J267" s="9" t="str">
        <x:v>PENDIENTE</x:v>
      </x:c>
      <x:c r="K267" s="10" t="n">
        <x:v>46706</x:v>
      </x:c>
      <x:c r="L267" s="7" t="str">
        <x:v>Avance 2027-11-15</x:v>
      </x:c>
      <x:c r="M267" s="8" t="str">
        <x:v>Validar aplicabilidad antes de remediar.</x:v>
      </x:c>
      <x:c r="N267" s="17"/>
      <x:c r="O267" s="17"/>
    </x:row>
    <x:row r="268" ht="15" hidden="0" customHeight="1">
      <x:c r="A268" s="7" t="str">
        <x:v>SIAJ-0115</x:v>
      </x:c>
      <x:c r="B268" s="7" t="str">
        <x:v>SAST</x:v>
      </x:c>
      <x:c r="C268" s="7" t="str">
        <x:v>MEDIUM</x:v>
      </x:c>
      <x:c r="D268" s="8" t="str">
        <x:v>Parameter_Tampering 100/196</x:v>
      </x:c>
      <x:c r="E268" s="7" t="str">
        <x:v>Código fuente Java</x:v>
      </x:c>
      <x:c r="F268" s="7" t="str"/>
      <x:c r="G268" s="7" t="str">
        <x:v>CWE-472</x:v>
      </x:c>
      <x:c r="H268" s="7" t="str"/>
      <x:c r="I268" s="7" t="n">
        <x:v>20</x:v>
      </x:c>
      <x:c r="J268" s="9" t="str">
        <x:v>PENDIENTE</x:v>
      </x:c>
      <x:c r="K268" s="10" t="n">
        <x:v>46706</x:v>
      </x:c>
      <x:c r="L268" s="7" t="str">
        <x:v>Avance 2027-11-15</x:v>
      </x:c>
      <x:c r="M268" s="8" t="str">
        <x:v>Validar aplicabilidad antes de remediar.</x:v>
      </x:c>
      <x:c r="N268" s="17"/>
      <x:c r="O268" s="17"/>
    </x:row>
    <x:row r="269" ht="15" hidden="0" customHeight="1">
      <x:c r="A269" s="7" t="str">
        <x:v>SIAJ-0116</x:v>
      </x:c>
      <x:c r="B269" s="7" t="str">
        <x:v>SAST</x:v>
      </x:c>
      <x:c r="C269" s="7" t="str">
        <x:v>MEDIUM</x:v>
      </x:c>
      <x:c r="D269" s="8" t="str">
        <x:v>Parameter_Tampering 101/196</x:v>
      </x:c>
      <x:c r="E269" s="7" t="str">
        <x:v>Código fuente Java</x:v>
      </x:c>
      <x:c r="F269" s="7" t="str"/>
      <x:c r="G269" s="7" t="str">
        <x:v>CWE-472</x:v>
      </x:c>
      <x:c r="H269" s="7" t="str"/>
      <x:c r="I269" s="7" t="n">
        <x:v>20</x:v>
      </x:c>
      <x:c r="J269" s="9" t="str">
        <x:v>PENDIENTE</x:v>
      </x:c>
      <x:c r="K269" s="10" t="n">
        <x:v>46706</x:v>
      </x:c>
      <x:c r="L269" s="7" t="str">
        <x:v>Avance 2027-11-15</x:v>
      </x:c>
      <x:c r="M269" s="8" t="str">
        <x:v>Validar aplicabilidad antes de remediar.</x:v>
      </x:c>
      <x:c r="N269" s="17"/>
      <x:c r="O269" s="17"/>
    </x:row>
    <x:row r="270" ht="15" hidden="0" customHeight="1">
      <x:c r="A270" s="7" t="str">
        <x:v>SIAJ-0117</x:v>
      </x:c>
      <x:c r="B270" s="7" t="str">
        <x:v>SAST</x:v>
      </x:c>
      <x:c r="C270" s="7" t="str">
        <x:v>MEDIUM</x:v>
      </x:c>
      <x:c r="D270" s="8" t="str">
        <x:v>Parameter_Tampering 102/196</x:v>
      </x:c>
      <x:c r="E270" s="7" t="str">
        <x:v>Código fuente Java</x:v>
      </x:c>
      <x:c r="F270" s="7" t="str"/>
      <x:c r="G270" s="7" t="str">
        <x:v>CWE-472</x:v>
      </x:c>
      <x:c r="H270" s="7" t="str"/>
      <x:c r="I270" s="7" t="n">
        <x:v>20</x:v>
      </x:c>
      <x:c r="J270" s="9" t="str">
        <x:v>PENDIENTE</x:v>
      </x:c>
      <x:c r="K270" s="10" t="n">
        <x:v>46706</x:v>
      </x:c>
      <x:c r="L270" s="7" t="str">
        <x:v>Avance 2027-11-15</x:v>
      </x:c>
      <x:c r="M270" s="8" t="str">
        <x:v>Validar aplicabilidad antes de remediar.</x:v>
      </x:c>
      <x:c r="N270" s="17"/>
      <x:c r="O270" s="17"/>
    </x:row>
    <x:row r="271" ht="15" hidden="0" customHeight="1">
      <x:c r="A271" s="7" t="str">
        <x:v>SIAJ-0118</x:v>
      </x:c>
      <x:c r="B271" s="7" t="str">
        <x:v>SAST</x:v>
      </x:c>
      <x:c r="C271" s="7" t="str">
        <x:v>MEDIUM</x:v>
      </x:c>
      <x:c r="D271" s="8" t="str">
        <x:v>Parameter_Tampering 103/196</x:v>
      </x:c>
      <x:c r="E271" s="7" t="str">
        <x:v>Código fuente Java</x:v>
      </x:c>
      <x:c r="F271" s="7" t="str"/>
      <x:c r="G271" s="7" t="str">
        <x:v>CWE-472</x:v>
      </x:c>
      <x:c r="H271" s="7" t="str"/>
      <x:c r="I271" s="7" t="n">
        <x:v>20</x:v>
      </x:c>
      <x:c r="J271" s="9" t="str">
        <x:v>PENDIENTE</x:v>
      </x:c>
      <x:c r="K271" s="10" t="n">
        <x:v>46706</x:v>
      </x:c>
      <x:c r="L271" s="7" t="str">
        <x:v>Avance 2027-11-15</x:v>
      </x:c>
      <x:c r="M271" s="8" t="str">
        <x:v>Validar aplicabilidad antes de remediar.</x:v>
      </x:c>
      <x:c r="N271" s="17"/>
      <x:c r="O271" s="17"/>
    </x:row>
    <x:row r="272" ht="15" hidden="0" customHeight="1">
      <x:c r="A272" s="7" t="str">
        <x:v>SIAJ-0119</x:v>
      </x:c>
      <x:c r="B272" s="7" t="str">
        <x:v>SAST</x:v>
      </x:c>
      <x:c r="C272" s="7" t="str">
        <x:v>MEDIUM</x:v>
      </x:c>
      <x:c r="D272" s="8" t="str">
        <x:v>Parameter_Tampering 104/196</x:v>
      </x:c>
      <x:c r="E272" s="7" t="str">
        <x:v>Código fuente Java</x:v>
      </x:c>
      <x:c r="F272" s="7" t="str"/>
      <x:c r="G272" s="7" t="str">
        <x:v>CWE-472</x:v>
      </x:c>
      <x:c r="H272" s="7" t="str"/>
      <x:c r="I272" s="7" t="n">
        <x:v>20</x:v>
      </x:c>
      <x:c r="J272" s="9" t="str">
        <x:v>PENDIENTE</x:v>
      </x:c>
      <x:c r="K272" s="10" t="n">
        <x:v>46706</x:v>
      </x:c>
      <x:c r="L272" s="7" t="str">
        <x:v>Avance 2027-11-15</x:v>
      </x:c>
      <x:c r="M272" s="8" t="str">
        <x:v>Validar aplicabilidad antes de remediar.</x:v>
      </x:c>
      <x:c r="N272" s="17"/>
      <x:c r="O272" s="17"/>
    </x:row>
    <x:row r="273" ht="15" hidden="0" customHeight="1">
      <x:c r="A273" s="7" t="str">
        <x:v>SIAJ-0120</x:v>
      </x:c>
      <x:c r="B273" s="7" t="str">
        <x:v>SAST</x:v>
      </x:c>
      <x:c r="C273" s="7" t="str">
        <x:v>MEDIUM</x:v>
      </x:c>
      <x:c r="D273" s="8" t="str">
        <x:v>Parameter_Tampering 105/196</x:v>
      </x:c>
      <x:c r="E273" s="7" t="str">
        <x:v>Código fuente Java</x:v>
      </x:c>
      <x:c r="F273" s="7" t="str"/>
      <x:c r="G273" s="7" t="str">
        <x:v>CWE-472</x:v>
      </x:c>
      <x:c r="H273" s="7" t="str"/>
      <x:c r="I273" s="7" t="n">
        <x:v>20</x:v>
      </x:c>
      <x:c r="J273" s="9" t="str">
        <x:v>PENDIENTE</x:v>
      </x:c>
      <x:c r="K273" s="10" t="n">
        <x:v>46706</x:v>
      </x:c>
      <x:c r="L273" s="7" t="str">
        <x:v>Avance 2027-11-15</x:v>
      </x:c>
      <x:c r="M273" s="8" t="str">
        <x:v>Validar aplicabilidad antes de remediar.</x:v>
      </x:c>
      <x:c r="N273" s="17"/>
      <x:c r="O273" s="17"/>
    </x:row>
    <x:row r="274" ht="15" hidden="0" customHeight="1">
      <x:c r="A274" s="7" t="str">
        <x:v>SIAJ-0121</x:v>
      </x:c>
      <x:c r="B274" s="7" t="str">
        <x:v>SAST</x:v>
      </x:c>
      <x:c r="C274" s="7" t="str">
        <x:v>MEDIUM</x:v>
      </x:c>
      <x:c r="D274" s="8" t="str">
        <x:v>Parameter_Tampering 106/196</x:v>
      </x:c>
      <x:c r="E274" s="7" t="str">
        <x:v>Código fuente Java</x:v>
      </x:c>
      <x:c r="F274" s="7" t="str"/>
      <x:c r="G274" s="7" t="str">
        <x:v>CWE-472</x:v>
      </x:c>
      <x:c r="H274" s="7" t="str"/>
      <x:c r="I274" s="7" t="n">
        <x:v>20</x:v>
      </x:c>
      <x:c r="J274" s="9" t="str">
        <x:v>PENDIENTE</x:v>
      </x:c>
      <x:c r="K274" s="10" t="n">
        <x:v>46706</x:v>
      </x:c>
      <x:c r="L274" s="7" t="str">
        <x:v>Avance 2027-11-15</x:v>
      </x:c>
      <x:c r="M274" s="8" t="str">
        <x:v>Validar aplicabilidad antes de remediar.</x:v>
      </x:c>
      <x:c r="N274" s="17"/>
      <x:c r="O274" s="17"/>
    </x:row>
    <x:row r="275" ht="15" hidden="0" customHeight="1">
      <x:c r="A275" s="7" t="str">
        <x:v>SIAJ-0122</x:v>
      </x:c>
      <x:c r="B275" s="7" t="str">
        <x:v>SAST</x:v>
      </x:c>
      <x:c r="C275" s="7" t="str">
        <x:v>MEDIUM</x:v>
      </x:c>
      <x:c r="D275" s="8" t="str">
        <x:v>Parameter_Tampering 107/196</x:v>
      </x:c>
      <x:c r="E275" s="7" t="str">
        <x:v>Código fuente Java</x:v>
      </x:c>
      <x:c r="F275" s="7" t="str"/>
      <x:c r="G275" s="7" t="str">
        <x:v>CWE-472</x:v>
      </x:c>
      <x:c r="H275" s="7" t="str"/>
      <x:c r="I275" s="7" t="n">
        <x:v>20</x:v>
      </x:c>
      <x:c r="J275" s="9" t="str">
        <x:v>PENDIENTE</x:v>
      </x:c>
      <x:c r="K275" s="10" t="n">
        <x:v>46706</x:v>
      </x:c>
      <x:c r="L275" s="7" t="str">
        <x:v>Avance 2027-11-15</x:v>
      </x:c>
      <x:c r="M275" s="8" t="str">
        <x:v>Validar aplicabilidad antes de remediar.</x:v>
      </x:c>
      <x:c r="N275" s="17"/>
      <x:c r="O275" s="17"/>
    </x:row>
    <x:row r="276" ht="15" hidden="0" customHeight="1">
      <x:c r="A276" s="7" t="str">
        <x:v>SIAJ-0123</x:v>
      </x:c>
      <x:c r="B276" s="7" t="str">
        <x:v>SAST</x:v>
      </x:c>
      <x:c r="C276" s="7" t="str">
        <x:v>MEDIUM</x:v>
      </x:c>
      <x:c r="D276" s="8" t="str">
        <x:v>Parameter_Tampering 108/196</x:v>
      </x:c>
      <x:c r="E276" s="7" t="str">
        <x:v>Código fuente Java</x:v>
      </x:c>
      <x:c r="F276" s="7" t="str"/>
      <x:c r="G276" s="7" t="str">
        <x:v>CWE-472</x:v>
      </x:c>
      <x:c r="H276" s="7" t="str"/>
      <x:c r="I276" s="7" t="n">
        <x:v>20</x:v>
      </x:c>
      <x:c r="J276" s="9" t="str">
        <x:v>PENDIENTE</x:v>
      </x:c>
      <x:c r="K276" s="10" t="n">
        <x:v>46706</x:v>
      </x:c>
      <x:c r="L276" s="7" t="str">
        <x:v>Avance 2027-11-15</x:v>
      </x:c>
      <x:c r="M276" s="8" t="str">
        <x:v>Validar aplicabilidad antes de remediar.</x:v>
      </x:c>
      <x:c r="N276" s="17"/>
      <x:c r="O276" s="17"/>
    </x:row>
    <x:row r="277" ht="15" hidden="0" customHeight="1">
      <x:c r="A277" s="7" t="str">
        <x:v>SIAJ-0124</x:v>
      </x:c>
      <x:c r="B277" s="7" t="str">
        <x:v>SAST</x:v>
      </x:c>
      <x:c r="C277" s="7" t="str">
        <x:v>MEDIUM</x:v>
      </x:c>
      <x:c r="D277" s="8" t="str">
        <x:v>Parameter_Tampering 109/196</x:v>
      </x:c>
      <x:c r="E277" s="7" t="str">
        <x:v>Código fuente Java</x:v>
      </x:c>
      <x:c r="F277" s="7" t="str"/>
      <x:c r="G277" s="7" t="str">
        <x:v>CWE-472</x:v>
      </x:c>
      <x:c r="H277" s="7" t="str"/>
      <x:c r="I277" s="7" t="n">
        <x:v>20</x:v>
      </x:c>
      <x:c r="J277" s="9" t="str">
        <x:v>PENDIENTE</x:v>
      </x:c>
      <x:c r="K277" s="10" t="n">
        <x:v>46706</x:v>
      </x:c>
      <x:c r="L277" s="7" t="str">
        <x:v>Avance 2027-11-15</x:v>
      </x:c>
      <x:c r="M277" s="8" t="str">
        <x:v>Validar aplicabilidad antes de remediar.</x:v>
      </x:c>
      <x:c r="N277" s="17"/>
      <x:c r="O277" s="17"/>
    </x:row>
    <x:row r="278" ht="15" hidden="0" customHeight="1">
      <x:c r="A278" s="7" t="str">
        <x:v>SIAJ-0026</x:v>
      </x:c>
      <x:c r="B278" s="7" t="str">
        <x:v>SAST</x:v>
      </x:c>
      <x:c r="C278" s="7" t="str">
        <x:v>MEDIUM</x:v>
      </x:c>
      <x:c r="D278" s="8" t="str">
        <x:v>Parameter_Tampering 11/196</x:v>
      </x:c>
      <x:c r="E278" s="7" t="str">
        <x:v>Código fuente Java</x:v>
      </x:c>
      <x:c r="F278" s="7" t="str"/>
      <x:c r="G278" s="7" t="str">
        <x:v>CWE-472</x:v>
      </x:c>
      <x:c r="H278" s="7" t="str"/>
      <x:c r="I278" s="7" t="n">
        <x:v>20</x:v>
      </x:c>
      <x:c r="J278" s="9" t="str">
        <x:v>PENDIENTE</x:v>
      </x:c>
      <x:c r="K278" s="10" t="n">
        <x:v>46706</x:v>
      </x:c>
      <x:c r="L278" s="7" t="str">
        <x:v>Avance 2027-11-15</x:v>
      </x:c>
      <x:c r="M278" s="8" t="str">
        <x:v>Validar aplicabilidad antes de remediar.</x:v>
      </x:c>
      <x:c r="N278" s="17"/>
      <x:c r="O278" s="17"/>
    </x:row>
    <x:row r="279" ht="15" hidden="0" customHeight="1">
      <x:c r="A279" s="7" t="str">
        <x:v>SIAJ-0125</x:v>
      </x:c>
      <x:c r="B279" s="7" t="str">
        <x:v>SAST</x:v>
      </x:c>
      <x:c r="C279" s="7" t="str">
        <x:v>MEDIUM</x:v>
      </x:c>
      <x:c r="D279" s="8" t="str">
        <x:v>Parameter_Tampering 110/196</x:v>
      </x:c>
      <x:c r="E279" s="7" t="str">
        <x:v>Código fuente Java</x:v>
      </x:c>
      <x:c r="F279" s="7" t="str"/>
      <x:c r="G279" s="7" t="str">
        <x:v>CWE-472</x:v>
      </x:c>
      <x:c r="H279" s="7" t="str"/>
      <x:c r="I279" s="7" t="n">
        <x:v>20</x:v>
      </x:c>
      <x:c r="J279" s="9" t="str">
        <x:v>PENDIENTE</x:v>
      </x:c>
      <x:c r="K279" s="10" t="n">
        <x:v>46706</x:v>
      </x:c>
      <x:c r="L279" s="7" t="str">
        <x:v>Avance 2027-11-15</x:v>
      </x:c>
      <x:c r="M279" s="8" t="str">
        <x:v>Validar aplicabilidad antes de remediar.</x:v>
      </x:c>
      <x:c r="N279" s="17"/>
      <x:c r="O279" s="17"/>
    </x:row>
    <x:row r="280" ht="15" hidden="0" customHeight="1">
      <x:c r="A280" s="7" t="str">
        <x:v>SIAJ-0126</x:v>
      </x:c>
      <x:c r="B280" s="7" t="str">
        <x:v>SAST</x:v>
      </x:c>
      <x:c r="C280" s="7" t="str">
        <x:v>MEDIUM</x:v>
      </x:c>
      <x:c r="D280" s="8" t="str">
        <x:v>Parameter_Tampering 111/196</x:v>
      </x:c>
      <x:c r="E280" s="7" t="str">
        <x:v>Código fuente Java</x:v>
      </x:c>
      <x:c r="F280" s="7" t="str"/>
      <x:c r="G280" s="7" t="str">
        <x:v>CWE-472</x:v>
      </x:c>
      <x:c r="H280" s="7" t="str"/>
      <x:c r="I280" s="7" t="n">
        <x:v>20</x:v>
      </x:c>
      <x:c r="J280" s="9" t="str">
        <x:v>PENDIENTE</x:v>
      </x:c>
      <x:c r="K280" s="10" t="n">
        <x:v>46706</x:v>
      </x:c>
      <x:c r="L280" s="7" t="str">
        <x:v>Avance 2027-11-15</x:v>
      </x:c>
      <x:c r="M280" s="8" t="str">
        <x:v>Validar aplicabilidad antes de remediar.</x:v>
      </x:c>
      <x:c r="N280" s="17"/>
      <x:c r="O280" s="17"/>
    </x:row>
    <x:row r="281" ht="15" hidden="0" customHeight="1">
      <x:c r="A281" s="7" t="str">
        <x:v>SIAJ-0127</x:v>
      </x:c>
      <x:c r="B281" s="7" t="str">
        <x:v>SAST</x:v>
      </x:c>
      <x:c r="C281" s="7" t="str">
        <x:v>MEDIUM</x:v>
      </x:c>
      <x:c r="D281" s="8" t="str">
        <x:v>Parameter_Tampering 112/196</x:v>
      </x:c>
      <x:c r="E281" s="7" t="str">
        <x:v>Código fuente Java</x:v>
      </x:c>
      <x:c r="F281" s="7" t="str"/>
      <x:c r="G281" s="7" t="str">
        <x:v>CWE-472</x:v>
      </x:c>
      <x:c r="H281" s="7" t="str"/>
      <x:c r="I281" s="7" t="n">
        <x:v>20</x:v>
      </x:c>
      <x:c r="J281" s="9" t="str">
        <x:v>PENDIENTE</x:v>
      </x:c>
      <x:c r="K281" s="10" t="n">
        <x:v>46706</x:v>
      </x:c>
      <x:c r="L281" s="7" t="str">
        <x:v>Avance 2027-11-15</x:v>
      </x:c>
      <x:c r="M281" s="8" t="str">
        <x:v>Validar aplicabilidad antes de remediar.</x:v>
      </x:c>
      <x:c r="N281" s="17"/>
      <x:c r="O281" s="17"/>
    </x:row>
    <x:row r="282" ht="15" hidden="0" customHeight="1">
      <x:c r="A282" s="7" t="str">
        <x:v>SIAJ-0128</x:v>
      </x:c>
      <x:c r="B282" s="7" t="str">
        <x:v>SAST</x:v>
      </x:c>
      <x:c r="C282" s="7" t="str">
        <x:v>MEDIUM</x:v>
      </x:c>
      <x:c r="D282" s="8" t="str">
        <x:v>Parameter_Tampering 113/196</x:v>
      </x:c>
      <x:c r="E282" s="7" t="str">
        <x:v>Código fuente Java</x:v>
      </x:c>
      <x:c r="F282" s="7" t="str"/>
      <x:c r="G282" s="7" t="str">
        <x:v>CWE-472</x:v>
      </x:c>
      <x:c r="H282" s="7" t="str"/>
      <x:c r="I282" s="7" t="n">
        <x:v>20</x:v>
      </x:c>
      <x:c r="J282" s="9" t="str">
        <x:v>PENDIENTE</x:v>
      </x:c>
      <x:c r="K282" s="10" t="n">
        <x:v>46706</x:v>
      </x:c>
      <x:c r="L282" s="7" t="str">
        <x:v>Avance 2027-11-15</x:v>
      </x:c>
      <x:c r="M282" s="8" t="str">
        <x:v>Validar aplicabilidad antes de remediar.</x:v>
      </x:c>
      <x:c r="N282" s="17"/>
      <x:c r="O282" s="17"/>
    </x:row>
    <x:row r="283" ht="15" hidden="0" customHeight="1">
      <x:c r="A283" s="7" t="str">
        <x:v>SIAJ-0129</x:v>
      </x:c>
      <x:c r="B283" s="7" t="str">
        <x:v>SAST</x:v>
      </x:c>
      <x:c r="C283" s="7" t="str">
        <x:v>MEDIUM</x:v>
      </x:c>
      <x:c r="D283" s="8" t="str">
        <x:v>Parameter_Tampering 114/196</x:v>
      </x:c>
      <x:c r="E283" s="7" t="str">
        <x:v>Código fuente Java</x:v>
      </x:c>
      <x:c r="F283" s="7" t="str"/>
      <x:c r="G283" s="7" t="str">
        <x:v>CWE-472</x:v>
      </x:c>
      <x:c r="H283" s="7" t="str"/>
      <x:c r="I283" s="7" t="n">
        <x:v>20</x:v>
      </x:c>
      <x:c r="J283" s="9" t="str">
        <x:v>PENDIENTE</x:v>
      </x:c>
      <x:c r="K283" s="10" t="n">
        <x:v>46706</x:v>
      </x:c>
      <x:c r="L283" s="7" t="str">
        <x:v>Avance 2027-11-15</x:v>
      </x:c>
      <x:c r="M283" s="8" t="str">
        <x:v>Validar aplicabilidad antes de remediar.</x:v>
      </x:c>
      <x:c r="N283" s="17"/>
      <x:c r="O283" s="17"/>
    </x:row>
    <x:row r="284" ht="15" hidden="0" customHeight="1">
      <x:c r="A284" s="7" t="str">
        <x:v>SIAJ-0130</x:v>
      </x:c>
      <x:c r="B284" s="7" t="str">
        <x:v>SAST</x:v>
      </x:c>
      <x:c r="C284" s="7" t="str">
        <x:v>MEDIUM</x:v>
      </x:c>
      <x:c r="D284" s="8" t="str">
        <x:v>Parameter_Tampering 115/196</x:v>
      </x:c>
      <x:c r="E284" s="7" t="str">
        <x:v>Código fuente Java</x:v>
      </x:c>
      <x:c r="F284" s="7" t="str"/>
      <x:c r="G284" s="7" t="str">
        <x:v>CWE-472</x:v>
      </x:c>
      <x:c r="H284" s="7" t="str"/>
      <x:c r="I284" s="7" t="n">
        <x:v>20</x:v>
      </x:c>
      <x:c r="J284" s="9" t="str">
        <x:v>PENDIENTE</x:v>
      </x:c>
      <x:c r="K284" s="10" t="n">
        <x:v>46706</x:v>
      </x:c>
      <x:c r="L284" s="7" t="str">
        <x:v>Avance 2027-11-15</x:v>
      </x:c>
      <x:c r="M284" s="8" t="str">
        <x:v>Validar aplicabilidad antes de remediar.</x:v>
      </x:c>
      <x:c r="N284" s="17"/>
      <x:c r="O284" s="17"/>
    </x:row>
    <x:row r="285" ht="15" hidden="0" customHeight="1">
      <x:c r="A285" s="7" t="str">
        <x:v>SIAJ-0131</x:v>
      </x:c>
      <x:c r="B285" s="7" t="str">
        <x:v>SAST</x:v>
      </x:c>
      <x:c r="C285" s="7" t="str">
        <x:v>MEDIUM</x:v>
      </x:c>
      <x:c r="D285" s="8" t="str">
        <x:v>Parameter_Tampering 116/196</x:v>
      </x:c>
      <x:c r="E285" s="7" t="str">
        <x:v>Código fuente Java</x:v>
      </x:c>
      <x:c r="F285" s="7" t="str"/>
      <x:c r="G285" s="7" t="str">
        <x:v>CWE-472</x:v>
      </x:c>
      <x:c r="H285" s="7" t="str"/>
      <x:c r="I285" s="7" t="n">
        <x:v>20</x:v>
      </x:c>
      <x:c r="J285" s="9" t="str">
        <x:v>PENDIENTE</x:v>
      </x:c>
      <x:c r="K285" s="10" t="n">
        <x:v>46736</x:v>
      </x:c>
      <x:c r="L285" s="7" t="str">
        <x:v>Avance 2027-12-15</x:v>
      </x:c>
      <x:c r="M285" s="8" t="str">
        <x:v>Validar aplicabilidad antes de remediar.</x:v>
      </x:c>
      <x:c r="N285" s="17"/>
      <x:c r="O285" s="17"/>
    </x:row>
    <x:row r="286" ht="15" hidden="0" customHeight="1">
      <x:c r="A286" s="7" t="str">
        <x:v>SIAJ-0132</x:v>
      </x:c>
      <x:c r="B286" s="7" t="str">
        <x:v>SAST</x:v>
      </x:c>
      <x:c r="C286" s="7" t="str">
        <x:v>MEDIUM</x:v>
      </x:c>
      <x:c r="D286" s="8" t="str">
        <x:v>Parameter_Tampering 117/196</x:v>
      </x:c>
      <x:c r="E286" s="7" t="str">
        <x:v>Código fuente Java</x:v>
      </x:c>
      <x:c r="F286" s="7" t="str"/>
      <x:c r="G286" s="7" t="str">
        <x:v>CWE-472</x:v>
      </x:c>
      <x:c r="H286" s="7" t="str"/>
      <x:c r="I286" s="7" t="n">
        <x:v>20</x:v>
      </x:c>
      <x:c r="J286" s="9" t="str">
        <x:v>PENDIENTE</x:v>
      </x:c>
      <x:c r="K286" s="10" t="n">
        <x:v>46736</x:v>
      </x:c>
      <x:c r="L286" s="7" t="str">
        <x:v>Avance 2027-12-15</x:v>
      </x:c>
      <x:c r="M286" s="8" t="str">
        <x:v>Validar aplicabilidad antes de remediar.</x:v>
      </x:c>
      <x:c r="N286" s="17"/>
      <x:c r="O286" s="17"/>
    </x:row>
    <x:row r="287" ht="15" hidden="0" customHeight="1">
      <x:c r="A287" s="7" t="str">
        <x:v>SIAJ-0133</x:v>
      </x:c>
      <x:c r="B287" s="7" t="str">
        <x:v>SAST</x:v>
      </x:c>
      <x:c r="C287" s="7" t="str">
        <x:v>MEDIUM</x:v>
      </x:c>
      <x:c r="D287" s="8" t="str">
        <x:v>Parameter_Tampering 118/196</x:v>
      </x:c>
      <x:c r="E287" s="7" t="str">
        <x:v>Código fuente Java</x:v>
      </x:c>
      <x:c r="F287" s="7" t="str"/>
      <x:c r="G287" s="7" t="str">
        <x:v>CWE-472</x:v>
      </x:c>
      <x:c r="H287" s="7" t="str"/>
      <x:c r="I287" s="7" t="n">
        <x:v>20</x:v>
      </x:c>
      <x:c r="J287" s="9" t="str">
        <x:v>PENDIENTE</x:v>
      </x:c>
      <x:c r="K287" s="10" t="n">
        <x:v>46736</x:v>
      </x:c>
      <x:c r="L287" s="7" t="str">
        <x:v>Avance 2027-12-15</x:v>
      </x:c>
      <x:c r="M287" s="8" t="str">
        <x:v>Validar aplicabilidad antes de remediar.</x:v>
      </x:c>
      <x:c r="N287" s="17"/>
      <x:c r="O287" s="17"/>
    </x:row>
    <x:row r="288" ht="15" hidden="0" customHeight="1">
      <x:c r="A288" s="7" t="str">
        <x:v>SIAJ-0134</x:v>
      </x:c>
      <x:c r="B288" s="7" t="str">
        <x:v>SAST</x:v>
      </x:c>
      <x:c r="C288" s="7" t="str">
        <x:v>MEDIUM</x:v>
      </x:c>
      <x:c r="D288" s="8" t="str">
        <x:v>Parameter_Tampering 119/196</x:v>
      </x:c>
      <x:c r="E288" s="7" t="str">
        <x:v>Código fuente Java</x:v>
      </x:c>
      <x:c r="F288" s="7" t="str"/>
      <x:c r="G288" s="7" t="str">
        <x:v>CWE-472</x:v>
      </x:c>
      <x:c r="H288" s="7" t="str"/>
      <x:c r="I288" s="7" t="n">
        <x:v>20</x:v>
      </x:c>
      <x:c r="J288" s="9" t="str">
        <x:v>PENDIENTE</x:v>
      </x:c>
      <x:c r="K288" s="10" t="n">
        <x:v>46736</x:v>
      </x:c>
      <x:c r="L288" s="7" t="str">
        <x:v>Avance 2027-12-15</x:v>
      </x:c>
      <x:c r="M288" s="8" t="str">
        <x:v>Validar aplicabilidad antes de remediar.</x:v>
      </x:c>
      <x:c r="N288" s="17"/>
      <x:c r="O288" s="17"/>
    </x:row>
    <x:row r="289" ht="15" hidden="0" customHeight="1">
      <x:c r="A289" s="7" t="str">
        <x:v>SIAJ-0027</x:v>
      </x:c>
      <x:c r="B289" s="7" t="str">
        <x:v>SAST</x:v>
      </x:c>
      <x:c r="C289" s="7" t="str">
        <x:v>MEDIUM</x:v>
      </x:c>
      <x:c r="D289" s="8" t="str">
        <x:v>Parameter_Tampering 12/196</x:v>
      </x:c>
      <x:c r="E289" s="7" t="str">
        <x:v>Código fuente Java</x:v>
      </x:c>
      <x:c r="F289" s="7" t="str"/>
      <x:c r="G289" s="7" t="str">
        <x:v>CWE-472</x:v>
      </x:c>
      <x:c r="H289" s="7" t="str"/>
      <x:c r="I289" s="7" t="n">
        <x:v>20</x:v>
      </x:c>
      <x:c r="J289" s="9" t="str">
        <x:v>PENDIENTE</x:v>
      </x:c>
      <x:c r="K289" s="10" t="n">
        <x:v>46736</x:v>
      </x:c>
      <x:c r="L289" s="7" t="str">
        <x:v>Avance 2027-12-15</x:v>
      </x:c>
      <x:c r="M289" s="8" t="str">
        <x:v>Validar aplicabilidad antes de remediar.</x:v>
      </x:c>
      <x:c r="N289" s="17"/>
      <x:c r="O289" s="17"/>
    </x:row>
    <x:row r="290" ht="15" hidden="0" customHeight="1">
      <x:c r="A290" s="7" t="str">
        <x:v>SIAJ-0135</x:v>
      </x:c>
      <x:c r="B290" s="7" t="str">
        <x:v>SAST</x:v>
      </x:c>
      <x:c r="C290" s="7" t="str">
        <x:v>MEDIUM</x:v>
      </x:c>
      <x:c r="D290" s="8" t="str">
        <x:v>Parameter_Tampering 120/196</x:v>
      </x:c>
      <x:c r="E290" s="7" t="str">
        <x:v>Código fuente Java</x:v>
      </x:c>
      <x:c r="F290" s="7" t="str"/>
      <x:c r="G290" s="7" t="str">
        <x:v>CWE-472</x:v>
      </x:c>
      <x:c r="H290" s="7" t="str"/>
      <x:c r="I290" s="7" t="n">
        <x:v>20</x:v>
      </x:c>
      <x:c r="J290" s="9" t="str">
        <x:v>PENDIENTE</x:v>
      </x:c>
      <x:c r="K290" s="10" t="n">
        <x:v>46736</x:v>
      </x:c>
      <x:c r="L290" s="7" t="str">
        <x:v>Avance 2027-12-15</x:v>
      </x:c>
      <x:c r="M290" s="8" t="str">
        <x:v>Validar aplicabilidad antes de remediar.</x:v>
      </x:c>
      <x:c r="N290" s="17"/>
      <x:c r="O290" s="17"/>
    </x:row>
    <x:row r="291" ht="15" hidden="0" customHeight="1">
      <x:c r="A291" s="7" t="str">
        <x:v>SIAJ-0136</x:v>
      </x:c>
      <x:c r="B291" s="7" t="str">
        <x:v>SAST</x:v>
      </x:c>
      <x:c r="C291" s="7" t="str">
        <x:v>MEDIUM</x:v>
      </x:c>
      <x:c r="D291" s="8" t="str">
        <x:v>Parameter_Tampering 121/196</x:v>
      </x:c>
      <x:c r="E291" s="7" t="str">
        <x:v>Código fuente Java</x:v>
      </x:c>
      <x:c r="F291" s="7" t="str"/>
      <x:c r="G291" s="7" t="str">
        <x:v>CWE-472</x:v>
      </x:c>
      <x:c r="H291" s="7" t="str"/>
      <x:c r="I291" s="7" t="n">
        <x:v>20</x:v>
      </x:c>
      <x:c r="J291" s="9" t="str">
        <x:v>PENDIENTE</x:v>
      </x:c>
      <x:c r="K291" s="10" t="n">
        <x:v>46736</x:v>
      </x:c>
      <x:c r="L291" s="7" t="str">
        <x:v>Avance 2027-12-15</x:v>
      </x:c>
      <x:c r="M291" s="8" t="str">
        <x:v>Validar aplicabilidad antes de remediar.</x:v>
      </x:c>
      <x:c r="N291" s="17"/>
      <x:c r="O291" s="17"/>
    </x:row>
    <x:row r="292" ht="15" hidden="0" customHeight="1">
      <x:c r="A292" s="7" t="str">
        <x:v>SIAJ-0137</x:v>
      </x:c>
      <x:c r="B292" s="7" t="str">
        <x:v>SAST</x:v>
      </x:c>
      <x:c r="C292" s="7" t="str">
        <x:v>MEDIUM</x:v>
      </x:c>
      <x:c r="D292" s="8" t="str">
        <x:v>Parameter_Tampering 122/196</x:v>
      </x:c>
      <x:c r="E292" s="7" t="str">
        <x:v>Código fuente Java</x:v>
      </x:c>
      <x:c r="F292" s="7" t="str"/>
      <x:c r="G292" s="7" t="str">
        <x:v>CWE-472</x:v>
      </x:c>
      <x:c r="H292" s="7" t="str"/>
      <x:c r="I292" s="7" t="n">
        <x:v>20</x:v>
      </x:c>
      <x:c r="J292" s="9" t="str">
        <x:v>PENDIENTE</x:v>
      </x:c>
      <x:c r="K292" s="10" t="n">
        <x:v>46736</x:v>
      </x:c>
      <x:c r="L292" s="7" t="str">
        <x:v>Avance 2027-12-15</x:v>
      </x:c>
      <x:c r="M292" s="8" t="str">
        <x:v>Validar aplicabilidad antes de remediar.</x:v>
      </x:c>
      <x:c r="N292" s="17"/>
      <x:c r="O292" s="17"/>
    </x:row>
    <x:row r="293" ht="15" hidden="0" customHeight="1">
      <x:c r="A293" s="7" t="str">
        <x:v>SIAJ-0138</x:v>
      </x:c>
      <x:c r="B293" s="7" t="str">
        <x:v>SAST</x:v>
      </x:c>
      <x:c r="C293" s="7" t="str">
        <x:v>MEDIUM</x:v>
      </x:c>
      <x:c r="D293" s="8" t="str">
        <x:v>Parameter_Tampering 123/196</x:v>
      </x:c>
      <x:c r="E293" s="7" t="str">
        <x:v>Código fuente Java</x:v>
      </x:c>
      <x:c r="F293" s="7" t="str"/>
      <x:c r="G293" s="7" t="str">
        <x:v>CWE-472</x:v>
      </x:c>
      <x:c r="H293" s="7" t="str"/>
      <x:c r="I293" s="7" t="n">
        <x:v>20</x:v>
      </x:c>
      <x:c r="J293" s="9" t="str">
        <x:v>PENDIENTE</x:v>
      </x:c>
      <x:c r="K293" s="10" t="n">
        <x:v>46736</x:v>
      </x:c>
      <x:c r="L293" s="7" t="str">
        <x:v>Avance 2027-12-15</x:v>
      </x:c>
      <x:c r="M293" s="8" t="str">
        <x:v>Validar aplicabilidad antes de remediar.</x:v>
      </x:c>
      <x:c r="N293" s="17"/>
      <x:c r="O293" s="17"/>
    </x:row>
    <x:row r="294" ht="15" hidden="0" customHeight="1">
      <x:c r="A294" s="7" t="str">
        <x:v>SIAJ-0139</x:v>
      </x:c>
      <x:c r="B294" s="7" t="str">
        <x:v>SAST</x:v>
      </x:c>
      <x:c r="C294" s="7" t="str">
        <x:v>MEDIUM</x:v>
      </x:c>
      <x:c r="D294" s="8" t="str">
        <x:v>Parameter_Tampering 124/196</x:v>
      </x:c>
      <x:c r="E294" s="7" t="str">
        <x:v>Código fuente Java</x:v>
      </x:c>
      <x:c r="F294" s="7" t="str"/>
      <x:c r="G294" s="7" t="str">
        <x:v>CWE-472</x:v>
      </x:c>
      <x:c r="H294" s="7" t="str"/>
      <x:c r="I294" s="7" t="n">
        <x:v>20</x:v>
      </x:c>
      <x:c r="J294" s="9" t="str">
        <x:v>PENDIENTE</x:v>
      </x:c>
      <x:c r="K294" s="10" t="n">
        <x:v>46736</x:v>
      </x:c>
      <x:c r="L294" s="7" t="str">
        <x:v>Avance 2027-12-15</x:v>
      </x:c>
      <x:c r="M294" s="8" t="str">
        <x:v>Validar aplicabilidad antes de remediar.</x:v>
      </x:c>
      <x:c r="N294" s="17"/>
      <x:c r="O294" s="17"/>
    </x:row>
    <x:row r="295" ht="15" hidden="0" customHeight="1">
      <x:c r="A295" s="7" t="str">
        <x:v>SIAJ-0140</x:v>
      </x:c>
      <x:c r="B295" s="7" t="str">
        <x:v>SAST</x:v>
      </x:c>
      <x:c r="C295" s="7" t="str">
        <x:v>MEDIUM</x:v>
      </x:c>
      <x:c r="D295" s="8" t="str">
        <x:v>Parameter_Tampering 125/196</x:v>
      </x:c>
      <x:c r="E295" s="7" t="str">
        <x:v>Código fuente Java</x:v>
      </x:c>
      <x:c r="F295" s="7" t="str"/>
      <x:c r="G295" s="7" t="str">
        <x:v>CWE-472</x:v>
      </x:c>
      <x:c r="H295" s="7" t="str"/>
      <x:c r="I295" s="7" t="n">
        <x:v>20</x:v>
      </x:c>
      <x:c r="J295" s="9" t="str">
        <x:v>PENDIENTE</x:v>
      </x:c>
      <x:c r="K295" s="10" t="n">
        <x:v>46736</x:v>
      </x:c>
      <x:c r="L295" s="7" t="str">
        <x:v>Avance 2027-12-15</x:v>
      </x:c>
      <x:c r="M295" s="8" t="str">
        <x:v>Validar aplicabilidad antes de remediar.</x:v>
      </x:c>
      <x:c r="N295" s="17"/>
      <x:c r="O295" s="17"/>
    </x:row>
    <x:row r="296" ht="15" hidden="0" customHeight="1">
      <x:c r="A296" s="7" t="str">
        <x:v>SIAJ-0141</x:v>
      </x:c>
      <x:c r="B296" s="7" t="str">
        <x:v>SAST</x:v>
      </x:c>
      <x:c r="C296" s="7" t="str">
        <x:v>MEDIUM</x:v>
      </x:c>
      <x:c r="D296" s="8" t="str">
        <x:v>Parameter_Tampering 126/196</x:v>
      </x:c>
      <x:c r="E296" s="7" t="str">
        <x:v>Código fuente Java</x:v>
      </x:c>
      <x:c r="F296" s="7" t="str"/>
      <x:c r="G296" s="7" t="str">
        <x:v>CWE-472</x:v>
      </x:c>
      <x:c r="H296" s="7" t="str"/>
      <x:c r="I296" s="7" t="n">
        <x:v>20</x:v>
      </x:c>
      <x:c r="J296" s="9" t="str">
        <x:v>PENDIENTE</x:v>
      </x:c>
      <x:c r="K296" s="10" t="n">
        <x:v>46736</x:v>
      </x:c>
      <x:c r="L296" s="7" t="str">
        <x:v>Avance 2027-12-15</x:v>
      </x:c>
      <x:c r="M296" s="8" t="str">
        <x:v>Validar aplicabilidad antes de remediar.</x:v>
      </x:c>
      <x:c r="N296" s="17"/>
      <x:c r="O296" s="17"/>
    </x:row>
    <x:row r="297" ht="15" hidden="0" customHeight="1">
      <x:c r="A297" s="7" t="str">
        <x:v>SIAJ-0142</x:v>
      </x:c>
      <x:c r="B297" s="7" t="str">
        <x:v>SAST</x:v>
      </x:c>
      <x:c r="C297" s="7" t="str">
        <x:v>MEDIUM</x:v>
      </x:c>
      <x:c r="D297" s="8" t="str">
        <x:v>Parameter_Tampering 127/196</x:v>
      </x:c>
      <x:c r="E297" s="7" t="str">
        <x:v>Código fuente Java</x:v>
      </x:c>
      <x:c r="F297" s="7" t="str"/>
      <x:c r="G297" s="7" t="str">
        <x:v>CWE-472</x:v>
      </x:c>
      <x:c r="H297" s="7" t="str"/>
      <x:c r="I297" s="7" t="n">
        <x:v>20</x:v>
      </x:c>
      <x:c r="J297" s="9" t="str">
        <x:v>PENDIENTE</x:v>
      </x:c>
      <x:c r="K297" s="10" t="n">
        <x:v>46736</x:v>
      </x:c>
      <x:c r="L297" s="7" t="str">
        <x:v>Avance 2027-12-15</x:v>
      </x:c>
      <x:c r="M297" s="8" t="str">
        <x:v>Validar aplicabilidad antes de remediar.</x:v>
      </x:c>
      <x:c r="N297" s="17"/>
      <x:c r="O297" s="17"/>
    </x:row>
    <x:row r="298" ht="15" hidden="0" customHeight="1">
      <x:c r="A298" s="7" t="str">
        <x:v>SIAJ-0143</x:v>
      </x:c>
      <x:c r="B298" s="7" t="str">
        <x:v>SAST</x:v>
      </x:c>
      <x:c r="C298" s="7" t="str">
        <x:v>MEDIUM</x:v>
      </x:c>
      <x:c r="D298" s="8" t="str">
        <x:v>Parameter_Tampering 128/196</x:v>
      </x:c>
      <x:c r="E298" s="7" t="str">
        <x:v>Código fuente Java</x:v>
      </x:c>
      <x:c r="F298" s="7" t="str"/>
      <x:c r="G298" s="7" t="str">
        <x:v>CWE-472</x:v>
      </x:c>
      <x:c r="H298" s="7" t="str"/>
      <x:c r="I298" s="7" t="n">
        <x:v>20</x:v>
      </x:c>
      <x:c r="J298" s="9" t="str">
        <x:v>PENDIENTE</x:v>
      </x:c>
      <x:c r="K298" s="10" t="n">
        <x:v>46736</x:v>
      </x:c>
      <x:c r="L298" s="7" t="str">
        <x:v>Avance 2027-12-15</x:v>
      </x:c>
      <x:c r="M298" s="8" t="str">
        <x:v>Validar aplicabilidad antes de remediar.</x:v>
      </x:c>
      <x:c r="N298" s="17"/>
      <x:c r="O298" s="17"/>
    </x:row>
    <x:row r="299" ht="15" hidden="0" customHeight="1">
      <x:c r="A299" s="7" t="str">
        <x:v>SIAJ-0144</x:v>
      </x:c>
      <x:c r="B299" s="7" t="str">
        <x:v>SAST</x:v>
      </x:c>
      <x:c r="C299" s="7" t="str">
        <x:v>MEDIUM</x:v>
      </x:c>
      <x:c r="D299" s="8" t="str">
        <x:v>Parameter_Tampering 129/196</x:v>
      </x:c>
      <x:c r="E299" s="7" t="str">
        <x:v>Código fuente Java</x:v>
      </x:c>
      <x:c r="F299" s="7" t="str"/>
      <x:c r="G299" s="7" t="str">
        <x:v>CWE-472</x:v>
      </x:c>
      <x:c r="H299" s="7" t="str"/>
      <x:c r="I299" s="7" t="n">
        <x:v>20</x:v>
      </x:c>
      <x:c r="J299" s="9" t="str">
        <x:v>PENDIENTE</x:v>
      </x:c>
      <x:c r="K299" s="10" t="n">
        <x:v>46736</x:v>
      </x:c>
      <x:c r="L299" s="7" t="str">
        <x:v>Avance 2027-12-15</x:v>
      </x:c>
      <x:c r="M299" s="8" t="str">
        <x:v>Validar aplicabilidad antes de remediar.</x:v>
      </x:c>
      <x:c r="N299" s="17"/>
      <x:c r="O299" s="17"/>
    </x:row>
    <x:row r="300" ht="15" hidden="0" customHeight="1">
      <x:c r="A300" s="7" t="str">
        <x:v>SIAJ-0028</x:v>
      </x:c>
      <x:c r="B300" s="7" t="str">
        <x:v>SAST</x:v>
      </x:c>
      <x:c r="C300" s="7" t="str">
        <x:v>MEDIUM</x:v>
      </x:c>
      <x:c r="D300" s="8" t="str">
        <x:v>Parameter_Tampering 13/196</x:v>
      </x:c>
      <x:c r="E300" s="7" t="str">
        <x:v>Código fuente Java</x:v>
      </x:c>
      <x:c r="F300" s="7" t="str"/>
      <x:c r="G300" s="7" t="str">
        <x:v>CWE-472</x:v>
      </x:c>
      <x:c r="H300" s="7" t="str"/>
      <x:c r="I300" s="7" t="n">
        <x:v>20</x:v>
      </x:c>
      <x:c r="J300" s="9" t="str">
        <x:v>PENDIENTE</x:v>
      </x:c>
      <x:c r="K300" s="10" t="n">
        <x:v>46736</x:v>
      </x:c>
      <x:c r="L300" s="7" t="str">
        <x:v>Avance 2027-12-15</x:v>
      </x:c>
      <x:c r="M300" s="8" t="str">
        <x:v>Validar aplicabilidad antes de remediar.</x:v>
      </x:c>
      <x:c r="N300" s="17"/>
      <x:c r="O300" s="17"/>
    </x:row>
    <x:row r="301" ht="15" hidden="0" customHeight="1">
      <x:c r="A301" s="7" t="str">
        <x:v>SIAJ-0145</x:v>
      </x:c>
      <x:c r="B301" s="7" t="str">
        <x:v>SAST</x:v>
      </x:c>
      <x:c r="C301" s="7" t="str">
        <x:v>MEDIUM</x:v>
      </x:c>
      <x:c r="D301" s="8" t="str">
        <x:v>Parameter_Tampering 130/196</x:v>
      </x:c>
      <x:c r="E301" s="7" t="str">
        <x:v>Código fuente Java</x:v>
      </x:c>
      <x:c r="F301" s="7" t="str"/>
      <x:c r="G301" s="7" t="str">
        <x:v>CWE-472</x:v>
      </x:c>
      <x:c r="H301" s="7" t="str"/>
      <x:c r="I301" s="7" t="n">
        <x:v>20</x:v>
      </x:c>
      <x:c r="J301" s="9" t="str">
        <x:v>PENDIENTE</x:v>
      </x:c>
      <x:c r="K301" s="10" t="n">
        <x:v>46736</x:v>
      </x:c>
      <x:c r="L301" s="7" t="str">
        <x:v>Avance 2027-12-15</x:v>
      </x:c>
      <x:c r="M301" s="8" t="str">
        <x:v>Validar aplicabilidad antes de remediar.</x:v>
      </x:c>
      <x:c r="N301" s="17"/>
      <x:c r="O301" s="17"/>
    </x:row>
    <x:row r="302" ht="15" hidden="0" customHeight="1">
      <x:c r="A302" s="7" t="str">
        <x:v>SIAJ-0146</x:v>
      </x:c>
      <x:c r="B302" s="7" t="str">
        <x:v>SAST</x:v>
      </x:c>
      <x:c r="C302" s="7" t="str">
        <x:v>MEDIUM</x:v>
      </x:c>
      <x:c r="D302" s="8" t="str">
        <x:v>Parameter_Tampering 131/196</x:v>
      </x:c>
      <x:c r="E302" s="7" t="str">
        <x:v>Código fuente Java</x:v>
      </x:c>
      <x:c r="F302" s="7" t="str"/>
      <x:c r="G302" s="7" t="str">
        <x:v>CWE-472</x:v>
      </x:c>
      <x:c r="H302" s="7" t="str"/>
      <x:c r="I302" s="7" t="n">
        <x:v>20</x:v>
      </x:c>
      <x:c r="J302" s="9" t="str">
        <x:v>PENDIENTE</x:v>
      </x:c>
      <x:c r="K302" s="10" t="n">
        <x:v>46736</x:v>
      </x:c>
      <x:c r="L302" s="7" t="str">
        <x:v>Avance 2027-12-15</x:v>
      </x:c>
      <x:c r="M302" s="8" t="str">
        <x:v>Validar aplicabilidad antes de remediar.</x:v>
      </x:c>
      <x:c r="N302" s="17"/>
      <x:c r="O302" s="17"/>
    </x:row>
    <x:row r="303" ht="15" hidden="0" customHeight="1">
      <x:c r="A303" s="7" t="str">
        <x:v>SIAJ-0147</x:v>
      </x:c>
      <x:c r="B303" s="7" t="str">
        <x:v>SAST</x:v>
      </x:c>
      <x:c r="C303" s="7" t="str">
        <x:v>MEDIUM</x:v>
      </x:c>
      <x:c r="D303" s="8" t="str">
        <x:v>Parameter_Tampering 132/196</x:v>
      </x:c>
      <x:c r="E303" s="7" t="str">
        <x:v>Código fuente Java</x:v>
      </x:c>
      <x:c r="F303" s="7" t="str"/>
      <x:c r="G303" s="7" t="str">
        <x:v>CWE-472</x:v>
      </x:c>
      <x:c r="H303" s="7" t="str"/>
      <x:c r="I303" s="7" t="n">
        <x:v>20</x:v>
      </x:c>
      <x:c r="J303" s="9" t="str">
        <x:v>PENDIENTE</x:v>
      </x:c>
      <x:c r="K303" s="10" t="n">
        <x:v>46767</x:v>
      </x:c>
      <x:c r="L303" s="7" t="str">
        <x:v>Avance 2028-01-15</x:v>
      </x:c>
      <x:c r="M303" s="8" t="str">
        <x:v>Validar aplicabilidad antes de remediar.</x:v>
      </x:c>
      <x:c r="N303" s="17"/>
      <x:c r="O303" s="17"/>
    </x:row>
    <x:row r="304" ht="15" hidden="0" customHeight="1">
      <x:c r="A304" s="7" t="str">
        <x:v>SIAJ-0148</x:v>
      </x:c>
      <x:c r="B304" s="7" t="str">
        <x:v>SAST</x:v>
      </x:c>
      <x:c r="C304" s="7" t="str">
        <x:v>MEDIUM</x:v>
      </x:c>
      <x:c r="D304" s="8" t="str">
        <x:v>Parameter_Tampering 133/196</x:v>
      </x:c>
      <x:c r="E304" s="7" t="str">
        <x:v>Código fuente Java</x:v>
      </x:c>
      <x:c r="F304" s="7" t="str"/>
      <x:c r="G304" s="7" t="str">
        <x:v>CWE-472</x:v>
      </x:c>
      <x:c r="H304" s="7" t="str"/>
      <x:c r="I304" s="7" t="n">
        <x:v>20</x:v>
      </x:c>
      <x:c r="J304" s="9" t="str">
        <x:v>PENDIENTE</x:v>
      </x:c>
      <x:c r="K304" s="10" t="n">
        <x:v>46767</x:v>
      </x:c>
      <x:c r="L304" s="7" t="str">
        <x:v>Avance 2028-01-15</x:v>
      </x:c>
      <x:c r="M304" s="8" t="str">
        <x:v>Validar aplicabilidad antes de remediar.</x:v>
      </x:c>
      <x:c r="N304" s="17"/>
      <x:c r="O304" s="17"/>
    </x:row>
    <x:row r="305" ht="15" hidden="0" customHeight="1">
      <x:c r="A305" s="7" t="str">
        <x:v>SIAJ-0149</x:v>
      </x:c>
      <x:c r="B305" s="7" t="str">
        <x:v>SAST</x:v>
      </x:c>
      <x:c r="C305" s="7" t="str">
        <x:v>MEDIUM</x:v>
      </x:c>
      <x:c r="D305" s="8" t="str">
        <x:v>Parameter_Tampering 134/196</x:v>
      </x:c>
      <x:c r="E305" s="7" t="str">
        <x:v>Código fuente Java</x:v>
      </x:c>
      <x:c r="F305" s="7" t="str"/>
      <x:c r="G305" s="7" t="str">
        <x:v>CWE-472</x:v>
      </x:c>
      <x:c r="H305" s="7" t="str"/>
      <x:c r="I305" s="7" t="n">
        <x:v>20</x:v>
      </x:c>
      <x:c r="J305" s="9" t="str">
        <x:v>PENDIENTE</x:v>
      </x:c>
      <x:c r="K305" s="10" t="n">
        <x:v>46767</x:v>
      </x:c>
      <x:c r="L305" s="7" t="str">
        <x:v>Avance 2028-01-15</x:v>
      </x:c>
      <x:c r="M305" s="8" t="str">
        <x:v>Validar aplicabilidad antes de remediar.</x:v>
      </x:c>
      <x:c r="N305" s="17"/>
      <x:c r="O305" s="17"/>
    </x:row>
    <x:row r="306" ht="15" hidden="0" customHeight="1">
      <x:c r="A306" s="7" t="str">
        <x:v>SIAJ-0150</x:v>
      </x:c>
      <x:c r="B306" s="7" t="str">
        <x:v>SAST</x:v>
      </x:c>
      <x:c r="C306" s="7" t="str">
        <x:v>MEDIUM</x:v>
      </x:c>
      <x:c r="D306" s="8" t="str">
        <x:v>Parameter_Tampering 135/196</x:v>
      </x:c>
      <x:c r="E306" s="7" t="str">
        <x:v>Código fuente Java</x:v>
      </x:c>
      <x:c r="F306" s="7" t="str"/>
      <x:c r="G306" s="7" t="str">
        <x:v>CWE-472</x:v>
      </x:c>
      <x:c r="H306" s="7" t="str"/>
      <x:c r="I306" s="7" t="n">
        <x:v>20</x:v>
      </x:c>
      <x:c r="J306" s="9" t="str">
        <x:v>PENDIENTE</x:v>
      </x:c>
      <x:c r="K306" s="10" t="n">
        <x:v>46767</x:v>
      </x:c>
      <x:c r="L306" s="7" t="str">
        <x:v>Avance 2028-01-15</x:v>
      </x:c>
      <x:c r="M306" s="8" t="str">
        <x:v>Validar aplicabilidad antes de remediar.</x:v>
      </x:c>
      <x:c r="N306" s="17"/>
      <x:c r="O306" s="17"/>
    </x:row>
    <x:row r="307" ht="15" hidden="0" customHeight="1">
      <x:c r="A307" s="7" t="str">
        <x:v>SIAJ-0151</x:v>
      </x:c>
      <x:c r="B307" s="7" t="str">
        <x:v>SAST</x:v>
      </x:c>
      <x:c r="C307" s="7" t="str">
        <x:v>MEDIUM</x:v>
      </x:c>
      <x:c r="D307" s="8" t="str">
        <x:v>Parameter_Tampering 136/196</x:v>
      </x:c>
      <x:c r="E307" s="7" t="str">
        <x:v>Código fuente Java</x:v>
      </x:c>
      <x:c r="F307" s="7" t="str"/>
      <x:c r="G307" s="7" t="str">
        <x:v>CWE-472</x:v>
      </x:c>
      <x:c r="H307" s="7" t="str"/>
      <x:c r="I307" s="7" t="n">
        <x:v>20</x:v>
      </x:c>
      <x:c r="J307" s="9" t="str">
        <x:v>PENDIENTE</x:v>
      </x:c>
      <x:c r="K307" s="10" t="n">
        <x:v>46767</x:v>
      </x:c>
      <x:c r="L307" s="7" t="str">
        <x:v>Avance 2028-01-15</x:v>
      </x:c>
      <x:c r="M307" s="8" t="str">
        <x:v>Validar aplicabilidad antes de remediar.</x:v>
      </x:c>
      <x:c r="N307" s="17"/>
      <x:c r="O307" s="17"/>
    </x:row>
    <x:row r="308" ht="15" hidden="0" customHeight="1">
      <x:c r="A308" s="7" t="str">
        <x:v>SIAJ-0152</x:v>
      </x:c>
      <x:c r="B308" s="7" t="str">
        <x:v>SAST</x:v>
      </x:c>
      <x:c r="C308" s="7" t="str">
        <x:v>MEDIUM</x:v>
      </x:c>
      <x:c r="D308" s="8" t="str">
        <x:v>Parameter_Tampering 137/196</x:v>
      </x:c>
      <x:c r="E308" s="7" t="str">
        <x:v>Código fuente Java</x:v>
      </x:c>
      <x:c r="F308" s="7" t="str"/>
      <x:c r="G308" s="7" t="str">
        <x:v>CWE-472</x:v>
      </x:c>
      <x:c r="H308" s="7" t="str"/>
      <x:c r="I308" s="7" t="n">
        <x:v>20</x:v>
      </x:c>
      <x:c r="J308" s="9" t="str">
        <x:v>PENDIENTE</x:v>
      </x:c>
      <x:c r="K308" s="10" t="n">
        <x:v>46767</x:v>
      </x:c>
      <x:c r="L308" s="7" t="str">
        <x:v>Avance 2028-01-15</x:v>
      </x:c>
      <x:c r="M308" s="8" t="str">
        <x:v>Validar aplicabilidad antes de remediar.</x:v>
      </x:c>
      <x:c r="N308" s="17"/>
      <x:c r="O308" s="17"/>
    </x:row>
    <x:row r="309" ht="15" hidden="0" customHeight="1">
      <x:c r="A309" s="7" t="str">
        <x:v>SIAJ-0153</x:v>
      </x:c>
      <x:c r="B309" s="7" t="str">
        <x:v>SAST</x:v>
      </x:c>
      <x:c r="C309" s="7" t="str">
        <x:v>MEDIUM</x:v>
      </x:c>
      <x:c r="D309" s="8" t="str">
        <x:v>Parameter_Tampering 138/196</x:v>
      </x:c>
      <x:c r="E309" s="7" t="str">
        <x:v>Código fuente Java</x:v>
      </x:c>
      <x:c r="F309" s="7" t="str"/>
      <x:c r="G309" s="7" t="str">
        <x:v>CWE-472</x:v>
      </x:c>
      <x:c r="H309" s="7" t="str"/>
      <x:c r="I309" s="7" t="n">
        <x:v>20</x:v>
      </x:c>
      <x:c r="J309" s="9" t="str">
        <x:v>PENDIENTE</x:v>
      </x:c>
      <x:c r="K309" s="10" t="n">
        <x:v>46767</x:v>
      </x:c>
      <x:c r="L309" s="7" t="str">
        <x:v>Avance 2028-01-15</x:v>
      </x:c>
      <x:c r="M309" s="8" t="str">
        <x:v>Validar aplicabilidad antes de remediar.</x:v>
      </x:c>
      <x:c r="N309" s="17"/>
      <x:c r="O309" s="17"/>
    </x:row>
    <x:row r="310" ht="15" hidden="0" customHeight="1">
      <x:c r="A310" s="7" t="str">
        <x:v>SIAJ-0154</x:v>
      </x:c>
      <x:c r="B310" s="7" t="str">
        <x:v>SAST</x:v>
      </x:c>
      <x:c r="C310" s="7" t="str">
        <x:v>MEDIUM</x:v>
      </x:c>
      <x:c r="D310" s="8" t="str">
        <x:v>Parameter_Tampering 139/196</x:v>
      </x:c>
      <x:c r="E310" s="7" t="str">
        <x:v>Código fuente Java</x:v>
      </x:c>
      <x:c r="F310" s="7" t="str"/>
      <x:c r="G310" s="7" t="str">
        <x:v>CWE-472</x:v>
      </x:c>
      <x:c r="H310" s="7" t="str"/>
      <x:c r="I310" s="7" t="n">
        <x:v>20</x:v>
      </x:c>
      <x:c r="J310" s="9" t="str">
        <x:v>PENDIENTE</x:v>
      </x:c>
      <x:c r="K310" s="10" t="n">
        <x:v>46767</x:v>
      </x:c>
      <x:c r="L310" s="7" t="str">
        <x:v>Avance 2028-01-15</x:v>
      </x:c>
      <x:c r="M310" s="8" t="str">
        <x:v>Validar aplicabilidad antes de remediar.</x:v>
      </x:c>
      <x:c r="N310" s="17"/>
      <x:c r="O310" s="17"/>
    </x:row>
    <x:row r="311" ht="15" hidden="0" customHeight="1">
      <x:c r="A311" s="7" t="str">
        <x:v>SIAJ-0029</x:v>
      </x:c>
      <x:c r="B311" s="7" t="str">
        <x:v>SAST</x:v>
      </x:c>
      <x:c r="C311" s="7" t="str">
        <x:v>MEDIUM</x:v>
      </x:c>
      <x:c r="D311" s="8" t="str">
        <x:v>Parameter_Tampering 14/196</x:v>
      </x:c>
      <x:c r="E311" s="7" t="str">
        <x:v>Código fuente Java</x:v>
      </x:c>
      <x:c r="F311" s="7" t="str"/>
      <x:c r="G311" s="7" t="str">
        <x:v>CWE-472</x:v>
      </x:c>
      <x:c r="H311" s="7" t="str"/>
      <x:c r="I311" s="7" t="n">
        <x:v>20</x:v>
      </x:c>
      <x:c r="J311" s="9" t="str">
        <x:v>PENDIENTE</x:v>
      </x:c>
      <x:c r="K311" s="10" t="n">
        <x:v>46767</x:v>
      </x:c>
      <x:c r="L311" s="7" t="str">
        <x:v>Avance 2028-01-15</x:v>
      </x:c>
      <x:c r="M311" s="8" t="str">
        <x:v>Validar aplicabilidad antes de remediar.</x:v>
      </x:c>
      <x:c r="N311" s="17"/>
      <x:c r="O311" s="17"/>
    </x:row>
    <x:row r="312" ht="15" hidden="0" customHeight="1">
      <x:c r="A312" s="7" t="str">
        <x:v>SIAJ-0155</x:v>
      </x:c>
      <x:c r="B312" s="7" t="str">
        <x:v>SAST</x:v>
      </x:c>
      <x:c r="C312" s="7" t="str">
        <x:v>MEDIUM</x:v>
      </x:c>
      <x:c r="D312" s="8" t="str">
        <x:v>Parameter_Tampering 140/196</x:v>
      </x:c>
      <x:c r="E312" s="7" t="str">
        <x:v>Código fuente Java</x:v>
      </x:c>
      <x:c r="F312" s="7" t="str"/>
      <x:c r="G312" s="7" t="str">
        <x:v>CWE-472</x:v>
      </x:c>
      <x:c r="H312" s="7" t="str"/>
      <x:c r="I312" s="7" t="n">
        <x:v>20</x:v>
      </x:c>
      <x:c r="J312" s="9" t="str">
        <x:v>PENDIENTE</x:v>
      </x:c>
      <x:c r="K312" s="10" t="n">
        <x:v>46767</x:v>
      </x:c>
      <x:c r="L312" s="7" t="str">
        <x:v>Avance 2028-01-15</x:v>
      </x:c>
      <x:c r="M312" s="8" t="str">
        <x:v>Validar aplicabilidad antes de remediar.</x:v>
      </x:c>
      <x:c r="N312" s="17"/>
      <x:c r="O312" s="17"/>
    </x:row>
    <x:row r="313" ht="15" hidden="0" customHeight="1">
      <x:c r="A313" s="7" t="str">
        <x:v>SIAJ-0156</x:v>
      </x:c>
      <x:c r="B313" s="7" t="str">
        <x:v>SAST</x:v>
      </x:c>
      <x:c r="C313" s="7" t="str">
        <x:v>MEDIUM</x:v>
      </x:c>
      <x:c r="D313" s="8" t="str">
        <x:v>Parameter_Tampering 141/196</x:v>
      </x:c>
      <x:c r="E313" s="7" t="str">
        <x:v>Código fuente Java</x:v>
      </x:c>
      <x:c r="F313" s="7" t="str"/>
      <x:c r="G313" s="7" t="str">
        <x:v>CWE-472</x:v>
      </x:c>
      <x:c r="H313" s="7" t="str"/>
      <x:c r="I313" s="7" t="n">
        <x:v>20</x:v>
      </x:c>
      <x:c r="J313" s="9" t="str">
        <x:v>PENDIENTE</x:v>
      </x:c>
      <x:c r="K313" s="10" t="n">
        <x:v>46767</x:v>
      </x:c>
      <x:c r="L313" s="7" t="str">
        <x:v>Avance 2028-01-15</x:v>
      </x:c>
      <x:c r="M313" s="8" t="str">
        <x:v>Validar aplicabilidad antes de remediar.</x:v>
      </x:c>
      <x:c r="N313" s="17"/>
      <x:c r="O313" s="17"/>
    </x:row>
    <x:row r="314" ht="15" hidden="0" customHeight="1">
      <x:c r="A314" s="7" t="str">
        <x:v>SIAJ-0157</x:v>
      </x:c>
      <x:c r="B314" s="7" t="str">
        <x:v>SAST</x:v>
      </x:c>
      <x:c r="C314" s="7" t="str">
        <x:v>MEDIUM</x:v>
      </x:c>
      <x:c r="D314" s="8" t="str">
        <x:v>Parameter_Tampering 142/196</x:v>
      </x:c>
      <x:c r="E314" s="7" t="str">
        <x:v>Código fuente Java</x:v>
      </x:c>
      <x:c r="F314" s="7" t="str"/>
      <x:c r="G314" s="7" t="str">
        <x:v>CWE-472</x:v>
      </x:c>
      <x:c r="H314" s="7" t="str"/>
      <x:c r="I314" s="7" t="n">
        <x:v>20</x:v>
      </x:c>
      <x:c r="J314" s="9" t="str">
        <x:v>PENDIENTE</x:v>
      </x:c>
      <x:c r="K314" s="10" t="n">
        <x:v>46767</x:v>
      </x:c>
      <x:c r="L314" s="7" t="str">
        <x:v>Avance 2028-01-15</x:v>
      </x:c>
      <x:c r="M314" s="8" t="str">
        <x:v>Validar aplicabilidad antes de remediar.</x:v>
      </x:c>
      <x:c r="N314" s="17"/>
      <x:c r="O314" s="17"/>
    </x:row>
    <x:row r="315" ht="15" hidden="0" customHeight="1">
      <x:c r="A315" s="7" t="str">
        <x:v>SIAJ-0158</x:v>
      </x:c>
      <x:c r="B315" s="7" t="str">
        <x:v>SAST</x:v>
      </x:c>
      <x:c r="C315" s="7" t="str">
        <x:v>MEDIUM</x:v>
      </x:c>
      <x:c r="D315" s="8" t="str">
        <x:v>Parameter_Tampering 143/196</x:v>
      </x:c>
      <x:c r="E315" s="7" t="str">
        <x:v>Código fuente Java</x:v>
      </x:c>
      <x:c r="F315" s="7" t="str"/>
      <x:c r="G315" s="7" t="str">
        <x:v>CWE-472</x:v>
      </x:c>
      <x:c r="H315" s="7" t="str"/>
      <x:c r="I315" s="7" t="n">
        <x:v>20</x:v>
      </x:c>
      <x:c r="J315" s="9" t="str">
        <x:v>PENDIENTE</x:v>
      </x:c>
      <x:c r="K315" s="10" t="n">
        <x:v>46767</x:v>
      </x:c>
      <x:c r="L315" s="7" t="str">
        <x:v>Avance 2028-01-15</x:v>
      </x:c>
      <x:c r="M315" s="8" t="str">
        <x:v>Validar aplicabilidad antes de remediar.</x:v>
      </x:c>
      <x:c r="N315" s="17"/>
      <x:c r="O315" s="17"/>
    </x:row>
    <x:row r="316" ht="15" hidden="0" customHeight="1">
      <x:c r="A316" s="7" t="str">
        <x:v>SIAJ-0159</x:v>
      </x:c>
      <x:c r="B316" s="7" t="str">
        <x:v>SAST</x:v>
      </x:c>
      <x:c r="C316" s="7" t="str">
        <x:v>MEDIUM</x:v>
      </x:c>
      <x:c r="D316" s="8" t="str">
        <x:v>Parameter_Tampering 144/196</x:v>
      </x:c>
      <x:c r="E316" s="7" t="str">
        <x:v>Código fuente Java</x:v>
      </x:c>
      <x:c r="F316" s="7" t="str"/>
      <x:c r="G316" s="7" t="str">
        <x:v>CWE-472</x:v>
      </x:c>
      <x:c r="H316" s="7" t="str"/>
      <x:c r="I316" s="7" t="n">
        <x:v>20</x:v>
      </x:c>
      <x:c r="J316" s="9" t="str">
        <x:v>PENDIENTE</x:v>
      </x:c>
      <x:c r="K316" s="10" t="n">
        <x:v>46767</x:v>
      </x:c>
      <x:c r="L316" s="7" t="str">
        <x:v>Avance 2028-01-15</x:v>
      </x:c>
      <x:c r="M316" s="8" t="str">
        <x:v>Validar aplicabilidad antes de remediar.</x:v>
      </x:c>
      <x:c r="N316" s="17"/>
      <x:c r="O316" s="17"/>
    </x:row>
    <x:row r="317" ht="15" hidden="0" customHeight="1">
      <x:c r="A317" s="7" t="str">
        <x:v>SIAJ-0160</x:v>
      </x:c>
      <x:c r="B317" s="7" t="str">
        <x:v>SAST</x:v>
      </x:c>
      <x:c r="C317" s="7" t="str">
        <x:v>MEDIUM</x:v>
      </x:c>
      <x:c r="D317" s="8" t="str">
        <x:v>Parameter_Tampering 145/196</x:v>
      </x:c>
      <x:c r="E317" s="7" t="str">
        <x:v>Código fuente Java</x:v>
      </x:c>
      <x:c r="F317" s="7" t="str"/>
      <x:c r="G317" s="7" t="str">
        <x:v>CWE-472</x:v>
      </x:c>
      <x:c r="H317" s="7" t="str"/>
      <x:c r="I317" s="7" t="n">
        <x:v>20</x:v>
      </x:c>
      <x:c r="J317" s="9" t="str">
        <x:v>PENDIENTE</x:v>
      </x:c>
      <x:c r="K317" s="10" t="n">
        <x:v>46767</x:v>
      </x:c>
      <x:c r="L317" s="7" t="str">
        <x:v>Avance 2028-01-15</x:v>
      </x:c>
      <x:c r="M317" s="8" t="str">
        <x:v>Validar aplicabilidad antes de remediar.</x:v>
      </x:c>
      <x:c r="N317" s="17"/>
      <x:c r="O317" s="17"/>
    </x:row>
    <x:row r="318" ht="15" hidden="0" customHeight="1">
      <x:c r="A318" s="7" t="str">
        <x:v>SIAJ-0161</x:v>
      </x:c>
      <x:c r="B318" s="7" t="str">
        <x:v>SAST</x:v>
      </x:c>
      <x:c r="C318" s="7" t="str">
        <x:v>MEDIUM</x:v>
      </x:c>
      <x:c r="D318" s="8" t="str">
        <x:v>Parameter_Tampering 146/196</x:v>
      </x:c>
      <x:c r="E318" s="7" t="str">
        <x:v>Código fuente Java</x:v>
      </x:c>
      <x:c r="F318" s="7" t="str"/>
      <x:c r="G318" s="7" t="str">
        <x:v>CWE-472</x:v>
      </x:c>
      <x:c r="H318" s="7" t="str"/>
      <x:c r="I318" s="7" t="n">
        <x:v>20</x:v>
      </x:c>
      <x:c r="J318" s="9" t="str">
        <x:v>PENDIENTE</x:v>
      </x:c>
      <x:c r="K318" s="10" t="n">
        <x:v>46767</x:v>
      </x:c>
      <x:c r="L318" s="7" t="str">
        <x:v>Avance 2028-01-15</x:v>
      </x:c>
      <x:c r="M318" s="8" t="str">
        <x:v>Validar aplicabilidad antes de remediar.</x:v>
      </x:c>
      <x:c r="N318" s="17"/>
      <x:c r="O318" s="17"/>
    </x:row>
    <x:row r="319" ht="15" hidden="0" customHeight="1">
      <x:c r="A319" s="7" t="str">
        <x:v>SIAJ-0162</x:v>
      </x:c>
      <x:c r="B319" s="7" t="str">
        <x:v>SAST</x:v>
      </x:c>
      <x:c r="C319" s="7" t="str">
        <x:v>MEDIUM</x:v>
      </x:c>
      <x:c r="D319" s="8" t="str">
        <x:v>Parameter_Tampering 147/196</x:v>
      </x:c>
      <x:c r="E319" s="7" t="str">
        <x:v>Código fuente Java</x:v>
      </x:c>
      <x:c r="F319" s="7" t="str"/>
      <x:c r="G319" s="7" t="str">
        <x:v>CWE-472</x:v>
      </x:c>
      <x:c r="H319" s="7" t="str"/>
      <x:c r="I319" s="7" t="n">
        <x:v>20</x:v>
      </x:c>
      <x:c r="J319" s="9" t="str">
        <x:v>PENDIENTE</x:v>
      </x:c>
      <x:c r="K319" s="10" t="n">
        <x:v>46767</x:v>
      </x:c>
      <x:c r="L319" s="7" t="str">
        <x:v>Avance 2028-01-15</x:v>
      </x:c>
      <x:c r="M319" s="8" t="str">
        <x:v>Validar aplicabilidad antes de remediar.</x:v>
      </x:c>
      <x:c r="N319" s="17"/>
      <x:c r="O319" s="17"/>
    </x:row>
    <x:row r="320" ht="15" hidden="0" customHeight="1">
      <x:c r="A320" s="7" t="str">
        <x:v>SIAJ-0163</x:v>
      </x:c>
      <x:c r="B320" s="7" t="str">
        <x:v>SAST</x:v>
      </x:c>
      <x:c r="C320" s="7" t="str">
        <x:v>MEDIUM</x:v>
      </x:c>
      <x:c r="D320" s="8" t="str">
        <x:v>Parameter_Tampering 148/196</x:v>
      </x:c>
      <x:c r="E320" s="7" t="str">
        <x:v>Código fuente Java</x:v>
      </x:c>
      <x:c r="F320" s="7" t="str"/>
      <x:c r="G320" s="7" t="str">
        <x:v>CWE-472</x:v>
      </x:c>
      <x:c r="H320" s="7" t="str"/>
      <x:c r="I320" s="7" t="n">
        <x:v>20</x:v>
      </x:c>
      <x:c r="J320" s="9" t="str">
        <x:v>PENDIENTE</x:v>
      </x:c>
      <x:c r="K320" s="10" t="n">
        <x:v>46767</x:v>
      </x:c>
      <x:c r="L320" s="7" t="str">
        <x:v>Avance 2028-01-15</x:v>
      </x:c>
      <x:c r="M320" s="8" t="str">
        <x:v>Validar aplicabilidad antes de remediar.</x:v>
      </x:c>
      <x:c r="N320" s="17"/>
      <x:c r="O320" s="17"/>
    </x:row>
    <x:row r="321" ht="15" hidden="0" customHeight="1">
      <x:c r="A321" s="7" t="str">
        <x:v>SIAJ-0164</x:v>
      </x:c>
      <x:c r="B321" s="7" t="str">
        <x:v>SAST</x:v>
      </x:c>
      <x:c r="C321" s="7" t="str">
        <x:v>MEDIUM</x:v>
      </x:c>
      <x:c r="D321" s="8" t="str">
        <x:v>Parameter_Tampering 149/196</x:v>
      </x:c>
      <x:c r="E321" s="7" t="str">
        <x:v>Código fuente Java</x:v>
      </x:c>
      <x:c r="F321" s="7" t="str"/>
      <x:c r="G321" s="7" t="str">
        <x:v>CWE-472</x:v>
      </x:c>
      <x:c r="H321" s="7" t="str"/>
      <x:c r="I321" s="7" t="n">
        <x:v>20</x:v>
      </x:c>
      <x:c r="J321" s="9" t="str">
        <x:v>PENDIENTE</x:v>
      </x:c>
      <x:c r="K321" s="10" t="n">
        <x:v>46798</x:v>
      </x:c>
      <x:c r="L321" s="7" t="str">
        <x:v>Avance 2028-02-15</x:v>
      </x:c>
      <x:c r="M321" s="8" t="str">
        <x:v>Validar aplicabilidad antes de remediar.</x:v>
      </x:c>
      <x:c r="N321" s="17"/>
      <x:c r="O321" s="17"/>
    </x:row>
    <x:row r="322" ht="15" hidden="0" customHeight="1">
      <x:c r="A322" s="7" t="str">
        <x:v>SIAJ-0030</x:v>
      </x:c>
      <x:c r="B322" s="7" t="str">
        <x:v>SAST</x:v>
      </x:c>
      <x:c r="C322" s="7" t="str">
        <x:v>MEDIUM</x:v>
      </x:c>
      <x:c r="D322" s="8" t="str">
        <x:v>Parameter_Tampering 15/196</x:v>
      </x:c>
      <x:c r="E322" s="7" t="str">
        <x:v>Código fuente Java</x:v>
      </x:c>
      <x:c r="F322" s="7" t="str"/>
      <x:c r="G322" s="7" t="str">
        <x:v>CWE-472</x:v>
      </x:c>
      <x:c r="H322" s="7" t="str"/>
      <x:c r="I322" s="7" t="n">
        <x:v>20</x:v>
      </x:c>
      <x:c r="J322" s="9" t="str">
        <x:v>PENDIENTE</x:v>
      </x:c>
      <x:c r="K322" s="10" t="n">
        <x:v>46798</x:v>
      </x:c>
      <x:c r="L322" s="7" t="str">
        <x:v>Avance 2028-02-15</x:v>
      </x:c>
      <x:c r="M322" s="8" t="str">
        <x:v>Validar aplicabilidad antes de remediar.</x:v>
      </x:c>
      <x:c r="N322" s="17"/>
      <x:c r="O322" s="17"/>
    </x:row>
    <x:row r="323" ht="15" hidden="0" customHeight="1">
      <x:c r="A323" s="7" t="str">
        <x:v>SIAJ-0165</x:v>
      </x:c>
      <x:c r="B323" s="7" t="str">
        <x:v>SAST</x:v>
      </x:c>
      <x:c r="C323" s="7" t="str">
        <x:v>MEDIUM</x:v>
      </x:c>
      <x:c r="D323" s="8" t="str">
        <x:v>Parameter_Tampering 150/196</x:v>
      </x:c>
      <x:c r="E323" s="7" t="str">
        <x:v>Código fuente Java</x:v>
      </x:c>
      <x:c r="F323" s="7" t="str"/>
      <x:c r="G323" s="7" t="str">
        <x:v>CWE-472</x:v>
      </x:c>
      <x:c r="H323" s="7" t="str"/>
      <x:c r="I323" s="7" t="n">
        <x:v>20</x:v>
      </x:c>
      <x:c r="J323" s="9" t="str">
        <x:v>PENDIENTE</x:v>
      </x:c>
      <x:c r="K323" s="10" t="n">
        <x:v>46798</x:v>
      </x:c>
      <x:c r="L323" s="7" t="str">
        <x:v>Avance 2028-02-15</x:v>
      </x:c>
      <x:c r="M323" s="8" t="str">
        <x:v>Validar aplicabilidad antes de remediar.</x:v>
      </x:c>
      <x:c r="N323" s="17"/>
      <x:c r="O323" s="17"/>
    </x:row>
    <x:row r="324" ht="15" hidden="0" customHeight="1">
      <x:c r="A324" s="7" t="str">
        <x:v>SIAJ-0166</x:v>
      </x:c>
      <x:c r="B324" s="7" t="str">
        <x:v>SAST</x:v>
      </x:c>
      <x:c r="C324" s="7" t="str">
        <x:v>MEDIUM</x:v>
      </x:c>
      <x:c r="D324" s="8" t="str">
        <x:v>Parameter_Tampering 151/196</x:v>
      </x:c>
      <x:c r="E324" s="7" t="str">
        <x:v>Código fuente Java</x:v>
      </x:c>
      <x:c r="F324" s="7" t="str"/>
      <x:c r="G324" s="7" t="str">
        <x:v>CWE-472</x:v>
      </x:c>
      <x:c r="H324" s="7" t="str"/>
      <x:c r="I324" s="7" t="n">
        <x:v>20</x:v>
      </x:c>
      <x:c r="J324" s="9" t="str">
        <x:v>PENDIENTE</x:v>
      </x:c>
      <x:c r="K324" s="10" t="n">
        <x:v>46798</x:v>
      </x:c>
      <x:c r="L324" s="7" t="str">
        <x:v>Avance 2028-02-15</x:v>
      </x:c>
      <x:c r="M324" s="8" t="str">
        <x:v>Validar aplicabilidad antes de remediar.</x:v>
      </x:c>
      <x:c r="N324" s="17"/>
      <x:c r="O324" s="17"/>
    </x:row>
    <x:row r="325" ht="15" hidden="0" customHeight="1">
      <x:c r="A325" s="7" t="str">
        <x:v>SIAJ-0167</x:v>
      </x:c>
      <x:c r="B325" s="7" t="str">
        <x:v>SAST</x:v>
      </x:c>
      <x:c r="C325" s="7" t="str">
        <x:v>MEDIUM</x:v>
      </x:c>
      <x:c r="D325" s="8" t="str">
        <x:v>Parameter_Tampering 152/196</x:v>
      </x:c>
      <x:c r="E325" s="7" t="str">
        <x:v>Código fuente Java</x:v>
      </x:c>
      <x:c r="F325" s="7" t="str"/>
      <x:c r="G325" s="7" t="str">
        <x:v>CWE-472</x:v>
      </x:c>
      <x:c r="H325" s="7" t="str"/>
      <x:c r="I325" s="7" t="n">
        <x:v>20</x:v>
      </x:c>
      <x:c r="J325" s="9" t="str">
        <x:v>PENDIENTE</x:v>
      </x:c>
      <x:c r="K325" s="10" t="n">
        <x:v>46798</x:v>
      </x:c>
      <x:c r="L325" s="7" t="str">
        <x:v>Avance 2028-02-15</x:v>
      </x:c>
      <x:c r="M325" s="8" t="str">
        <x:v>Validar aplicabilidad antes de remediar.</x:v>
      </x:c>
      <x:c r="N325" s="17"/>
      <x:c r="O325" s="17"/>
    </x:row>
    <x:row r="326" ht="15" hidden="0" customHeight="1">
      <x:c r="A326" s="7" t="str">
        <x:v>SIAJ-0168</x:v>
      </x:c>
      <x:c r="B326" s="7" t="str">
        <x:v>SAST</x:v>
      </x:c>
      <x:c r="C326" s="7" t="str">
        <x:v>MEDIUM</x:v>
      </x:c>
      <x:c r="D326" s="8" t="str">
        <x:v>Parameter_Tampering 153/196</x:v>
      </x:c>
      <x:c r="E326" s="7" t="str">
        <x:v>Código fuente Java</x:v>
      </x:c>
      <x:c r="F326" s="7" t="str"/>
      <x:c r="G326" s="7" t="str">
        <x:v>CWE-472</x:v>
      </x:c>
      <x:c r="H326" s="7" t="str"/>
      <x:c r="I326" s="7" t="n">
        <x:v>20</x:v>
      </x:c>
      <x:c r="J326" s="9" t="str">
        <x:v>PENDIENTE</x:v>
      </x:c>
      <x:c r="K326" s="10" t="n">
        <x:v>46798</x:v>
      </x:c>
      <x:c r="L326" s="7" t="str">
        <x:v>Avance 2028-02-15</x:v>
      </x:c>
      <x:c r="M326" s="8" t="str">
        <x:v>Validar aplicabilidad antes de remediar.</x:v>
      </x:c>
      <x:c r="N326" s="17"/>
      <x:c r="O326" s="17"/>
    </x:row>
    <x:row r="327" ht="15" hidden="0" customHeight="1">
      <x:c r="A327" s="7" t="str">
        <x:v>SIAJ-0169</x:v>
      </x:c>
      <x:c r="B327" s="7" t="str">
        <x:v>SAST</x:v>
      </x:c>
      <x:c r="C327" s="7" t="str">
        <x:v>MEDIUM</x:v>
      </x:c>
      <x:c r="D327" s="8" t="str">
        <x:v>Parameter_Tampering 154/196</x:v>
      </x:c>
      <x:c r="E327" s="7" t="str">
        <x:v>Código fuente Java</x:v>
      </x:c>
      <x:c r="F327" s="7" t="str"/>
      <x:c r="G327" s="7" t="str">
        <x:v>CWE-472</x:v>
      </x:c>
      <x:c r="H327" s="7" t="str"/>
      <x:c r="I327" s="7" t="n">
        <x:v>20</x:v>
      </x:c>
      <x:c r="J327" s="9" t="str">
        <x:v>PENDIENTE</x:v>
      </x:c>
      <x:c r="K327" s="10" t="n">
        <x:v>46798</x:v>
      </x:c>
      <x:c r="L327" s="7" t="str">
        <x:v>Avance 2028-02-15</x:v>
      </x:c>
      <x:c r="M327" s="8" t="str">
        <x:v>Validar aplicabilidad antes de remediar.</x:v>
      </x:c>
      <x:c r="N327" s="17"/>
      <x:c r="O327" s="17"/>
    </x:row>
    <x:row r="328" ht="15" hidden="0" customHeight="1">
      <x:c r="A328" s="7" t="str">
        <x:v>SIAJ-0170</x:v>
      </x:c>
      <x:c r="B328" s="7" t="str">
        <x:v>SAST</x:v>
      </x:c>
      <x:c r="C328" s="7" t="str">
        <x:v>MEDIUM</x:v>
      </x:c>
      <x:c r="D328" s="8" t="str">
        <x:v>Parameter_Tampering 155/196</x:v>
      </x:c>
      <x:c r="E328" s="7" t="str">
        <x:v>Código fuente Java</x:v>
      </x:c>
      <x:c r="F328" s="7" t="str"/>
      <x:c r="G328" s="7" t="str">
        <x:v>CWE-472</x:v>
      </x:c>
      <x:c r="H328" s="7" t="str"/>
      <x:c r="I328" s="7" t="n">
        <x:v>20</x:v>
      </x:c>
      <x:c r="J328" s="9" t="str">
        <x:v>PENDIENTE</x:v>
      </x:c>
      <x:c r="K328" s="10" t="n">
        <x:v>46798</x:v>
      </x:c>
      <x:c r="L328" s="7" t="str">
        <x:v>Avance 2028-02-15</x:v>
      </x:c>
      <x:c r="M328" s="8" t="str">
        <x:v>Validar aplicabilidad antes de remediar.</x:v>
      </x:c>
      <x:c r="N328" s="17"/>
      <x:c r="O328" s="17"/>
    </x:row>
    <x:row r="329" ht="15" hidden="0" customHeight="1">
      <x:c r="A329" s="7" t="str">
        <x:v>SIAJ-0171</x:v>
      </x:c>
      <x:c r="B329" s="7" t="str">
        <x:v>SAST</x:v>
      </x:c>
      <x:c r="C329" s="7" t="str">
        <x:v>MEDIUM</x:v>
      </x:c>
      <x:c r="D329" s="8" t="str">
        <x:v>Parameter_Tampering 156/196</x:v>
      </x:c>
      <x:c r="E329" s="7" t="str">
        <x:v>Código fuente Java</x:v>
      </x:c>
      <x:c r="F329" s="7" t="str"/>
      <x:c r="G329" s="7" t="str">
        <x:v>CWE-472</x:v>
      </x:c>
      <x:c r="H329" s="7" t="str"/>
      <x:c r="I329" s="7" t="n">
        <x:v>20</x:v>
      </x:c>
      <x:c r="J329" s="9" t="str">
        <x:v>PENDIENTE</x:v>
      </x:c>
      <x:c r="K329" s="10" t="n">
        <x:v>46798</x:v>
      </x:c>
      <x:c r="L329" s="7" t="str">
        <x:v>Avance 2028-02-15</x:v>
      </x:c>
      <x:c r="M329" s="8" t="str">
        <x:v>Validar aplicabilidad antes de remediar.</x:v>
      </x:c>
      <x:c r="N329" s="17"/>
      <x:c r="O329" s="17"/>
    </x:row>
    <x:row r="330" ht="15" hidden="0" customHeight="1">
      <x:c r="A330" s="7" t="str">
        <x:v>SIAJ-0172</x:v>
      </x:c>
      <x:c r="B330" s="7" t="str">
        <x:v>SAST</x:v>
      </x:c>
      <x:c r="C330" s="7" t="str">
        <x:v>MEDIUM</x:v>
      </x:c>
      <x:c r="D330" s="8" t="str">
        <x:v>Parameter_Tampering 157/196</x:v>
      </x:c>
      <x:c r="E330" s="7" t="str">
        <x:v>Código fuente Java</x:v>
      </x:c>
      <x:c r="F330" s="7" t="str"/>
      <x:c r="G330" s="7" t="str">
        <x:v>CWE-472</x:v>
      </x:c>
      <x:c r="H330" s="7" t="str"/>
      <x:c r="I330" s="7" t="n">
        <x:v>20</x:v>
      </x:c>
      <x:c r="J330" s="9" t="str">
        <x:v>PENDIENTE</x:v>
      </x:c>
      <x:c r="K330" s="10" t="n">
        <x:v>46798</x:v>
      </x:c>
      <x:c r="L330" s="7" t="str">
        <x:v>Avance 2028-02-15</x:v>
      </x:c>
      <x:c r="M330" s="8" t="str">
        <x:v>Validar aplicabilidad antes de remediar.</x:v>
      </x:c>
      <x:c r="N330" s="17"/>
      <x:c r="O330" s="17"/>
    </x:row>
    <x:row r="331" ht="15" hidden="0" customHeight="1">
      <x:c r="A331" s="7" t="str">
        <x:v>SIAJ-0173</x:v>
      </x:c>
      <x:c r="B331" s="7" t="str">
        <x:v>SAST</x:v>
      </x:c>
      <x:c r="C331" s="7" t="str">
        <x:v>MEDIUM</x:v>
      </x:c>
      <x:c r="D331" s="8" t="str">
        <x:v>Parameter_Tampering 158/196</x:v>
      </x:c>
      <x:c r="E331" s="7" t="str">
        <x:v>Código fuente Java</x:v>
      </x:c>
      <x:c r="F331" s="7" t="str"/>
      <x:c r="G331" s="7" t="str">
        <x:v>CWE-472</x:v>
      </x:c>
      <x:c r="H331" s="7" t="str"/>
      <x:c r="I331" s="7" t="n">
        <x:v>20</x:v>
      </x:c>
      <x:c r="J331" s="9" t="str">
        <x:v>PENDIENTE</x:v>
      </x:c>
      <x:c r="K331" s="10" t="n">
        <x:v>46798</x:v>
      </x:c>
      <x:c r="L331" s="7" t="str">
        <x:v>Avance 2028-02-15</x:v>
      </x:c>
      <x:c r="M331" s="8" t="str">
        <x:v>Validar aplicabilidad antes de remediar.</x:v>
      </x:c>
      <x:c r="N331" s="17"/>
      <x:c r="O331" s="17"/>
    </x:row>
    <x:row r="332" ht="15" hidden="0" customHeight="1">
      <x:c r="A332" s="7" t="str">
        <x:v>SIAJ-0174</x:v>
      </x:c>
      <x:c r="B332" s="7" t="str">
        <x:v>SAST</x:v>
      </x:c>
      <x:c r="C332" s="7" t="str">
        <x:v>MEDIUM</x:v>
      </x:c>
      <x:c r="D332" s="8" t="str">
        <x:v>Parameter_Tampering 159/196</x:v>
      </x:c>
      <x:c r="E332" s="7" t="str">
        <x:v>Código fuente Java</x:v>
      </x:c>
      <x:c r="F332" s="7" t="str"/>
      <x:c r="G332" s="7" t="str">
        <x:v>CWE-472</x:v>
      </x:c>
      <x:c r="H332" s="7" t="str"/>
      <x:c r="I332" s="7" t="n">
        <x:v>20</x:v>
      </x:c>
      <x:c r="J332" s="9" t="str">
        <x:v>PENDIENTE</x:v>
      </x:c>
      <x:c r="K332" s="10" t="n">
        <x:v>46798</x:v>
      </x:c>
      <x:c r="L332" s="7" t="str">
        <x:v>Avance 2028-02-15</x:v>
      </x:c>
      <x:c r="M332" s="8" t="str">
        <x:v>Validar aplicabilidad antes de remediar.</x:v>
      </x:c>
      <x:c r="N332" s="17"/>
      <x:c r="O332" s="17"/>
    </x:row>
    <x:row r="333" ht="15" hidden="0" customHeight="1">
      <x:c r="A333" s="7" t="str">
        <x:v>SIAJ-0031</x:v>
      </x:c>
      <x:c r="B333" s="7" t="str">
        <x:v>SAST</x:v>
      </x:c>
      <x:c r="C333" s="7" t="str">
        <x:v>MEDIUM</x:v>
      </x:c>
      <x:c r="D333" s="8" t="str">
        <x:v>Parameter_Tampering 16/196</x:v>
      </x:c>
      <x:c r="E333" s="7" t="str">
        <x:v>Código fuente Java</x:v>
      </x:c>
      <x:c r="F333" s="7" t="str"/>
      <x:c r="G333" s="7" t="str">
        <x:v>CWE-472</x:v>
      </x:c>
      <x:c r="H333" s="7" t="str"/>
      <x:c r="I333" s="7" t="n">
        <x:v>20</x:v>
      </x:c>
      <x:c r="J333" s="9" t="str">
        <x:v>PENDIENTE</x:v>
      </x:c>
      <x:c r="K333" s="10" t="n">
        <x:v>46798</x:v>
      </x:c>
      <x:c r="L333" s="7" t="str">
        <x:v>Avance 2028-02-15</x:v>
      </x:c>
      <x:c r="M333" s="8" t="str">
        <x:v>Validar aplicabilidad antes de remediar.</x:v>
      </x:c>
      <x:c r="N333" s="17"/>
      <x:c r="O333" s="17"/>
    </x:row>
    <x:row r="334" ht="15" hidden="0" customHeight="1">
      <x:c r="A334" s="7" t="str">
        <x:v>SIAJ-0175</x:v>
      </x:c>
      <x:c r="B334" s="7" t="str">
        <x:v>SAST</x:v>
      </x:c>
      <x:c r="C334" s="7" t="str">
        <x:v>MEDIUM</x:v>
      </x:c>
      <x:c r="D334" s="8" t="str">
        <x:v>Parameter_Tampering 160/196</x:v>
      </x:c>
      <x:c r="E334" s="7" t="str">
        <x:v>Código fuente Java</x:v>
      </x:c>
      <x:c r="F334" s="7" t="str"/>
      <x:c r="G334" s="7" t="str">
        <x:v>CWE-472</x:v>
      </x:c>
      <x:c r="H334" s="7" t="str"/>
      <x:c r="I334" s="7" t="n">
        <x:v>20</x:v>
      </x:c>
      <x:c r="J334" s="9" t="str">
        <x:v>PENDIENTE</x:v>
      </x:c>
      <x:c r="K334" s="10" t="n">
        <x:v>46798</x:v>
      </x:c>
      <x:c r="L334" s="7" t="str">
        <x:v>Avance 2028-02-15</x:v>
      </x:c>
      <x:c r="M334" s="8" t="str">
        <x:v>Validar aplicabilidad antes de remediar.</x:v>
      </x:c>
      <x:c r="N334" s="17"/>
      <x:c r="O334" s="17"/>
    </x:row>
    <x:row r="335" ht="15" hidden="0" customHeight="1">
      <x:c r="A335" s="7" t="str">
        <x:v>SIAJ-0176</x:v>
      </x:c>
      <x:c r="B335" s="7" t="str">
        <x:v>SAST</x:v>
      </x:c>
      <x:c r="C335" s="7" t="str">
        <x:v>MEDIUM</x:v>
      </x:c>
      <x:c r="D335" s="8" t="str">
        <x:v>Parameter_Tampering 161/196</x:v>
      </x:c>
      <x:c r="E335" s="7" t="str">
        <x:v>Código fuente Java</x:v>
      </x:c>
      <x:c r="F335" s="7" t="str"/>
      <x:c r="G335" s="7" t="str">
        <x:v>CWE-472</x:v>
      </x:c>
      <x:c r="H335" s="7" t="str"/>
      <x:c r="I335" s="7" t="n">
        <x:v>20</x:v>
      </x:c>
      <x:c r="J335" s="9" t="str">
        <x:v>PENDIENTE</x:v>
      </x:c>
      <x:c r="K335" s="10" t="n">
        <x:v>46798</x:v>
      </x:c>
      <x:c r="L335" s="7" t="str">
        <x:v>Avance 2028-02-15</x:v>
      </x:c>
      <x:c r="M335" s="8" t="str">
        <x:v>Validar aplicabilidad antes de remediar.</x:v>
      </x:c>
      <x:c r="N335" s="17"/>
      <x:c r="O335" s="17"/>
    </x:row>
    <x:row r="336" ht="15" hidden="0" customHeight="1">
      <x:c r="A336" s="7" t="str">
        <x:v>SIAJ-0177</x:v>
      </x:c>
      <x:c r="B336" s="7" t="str">
        <x:v>SAST</x:v>
      </x:c>
      <x:c r="C336" s="7" t="str">
        <x:v>MEDIUM</x:v>
      </x:c>
      <x:c r="D336" s="8" t="str">
        <x:v>Parameter_Tampering 162/196</x:v>
      </x:c>
      <x:c r="E336" s="7" t="str">
        <x:v>Código fuente Java</x:v>
      </x:c>
      <x:c r="F336" s="7" t="str"/>
      <x:c r="G336" s="7" t="str">
        <x:v>CWE-472</x:v>
      </x:c>
      <x:c r="H336" s="7" t="str"/>
      <x:c r="I336" s="7" t="n">
        <x:v>20</x:v>
      </x:c>
      <x:c r="J336" s="9" t="str">
        <x:v>PENDIENTE</x:v>
      </x:c>
      <x:c r="K336" s="10" t="n">
        <x:v>46798</x:v>
      </x:c>
      <x:c r="L336" s="7" t="str">
        <x:v>Avance 2028-02-15</x:v>
      </x:c>
      <x:c r="M336" s="8" t="str">
        <x:v>Validar aplicabilidad antes de remediar.</x:v>
      </x:c>
      <x:c r="N336" s="17"/>
      <x:c r="O336" s="17"/>
    </x:row>
    <x:row r="337" ht="15" hidden="0" customHeight="1">
      <x:c r="A337" s="7" t="str">
        <x:v>SIAJ-0178</x:v>
      </x:c>
      <x:c r="B337" s="7" t="str">
        <x:v>SAST</x:v>
      </x:c>
      <x:c r="C337" s="7" t="str">
        <x:v>MEDIUM</x:v>
      </x:c>
      <x:c r="D337" s="8" t="str">
        <x:v>Parameter_Tampering 163/196</x:v>
      </x:c>
      <x:c r="E337" s="7" t="str">
        <x:v>Código fuente Java</x:v>
      </x:c>
      <x:c r="F337" s="7" t="str"/>
      <x:c r="G337" s="7" t="str">
        <x:v>CWE-472</x:v>
      </x:c>
      <x:c r="H337" s="7" t="str"/>
      <x:c r="I337" s="7" t="n">
        <x:v>20</x:v>
      </x:c>
      <x:c r="J337" s="9" t="str">
        <x:v>PENDIENTE</x:v>
      </x:c>
      <x:c r="K337" s="10" t="n">
        <x:v>46798</x:v>
      </x:c>
      <x:c r="L337" s="7" t="str">
        <x:v>Avance 2028-02-15</x:v>
      </x:c>
      <x:c r="M337" s="8" t="str">
        <x:v>Validar aplicabilidad antes de remediar.</x:v>
      </x:c>
      <x:c r="N337" s="17"/>
      <x:c r="O337" s="17"/>
    </x:row>
    <x:row r="338" ht="15" hidden="0" customHeight="1">
      <x:c r="A338" s="7" t="str">
        <x:v>SIAJ-0179</x:v>
      </x:c>
      <x:c r="B338" s="7" t="str">
        <x:v>SAST</x:v>
      </x:c>
      <x:c r="C338" s="7" t="str">
        <x:v>MEDIUM</x:v>
      </x:c>
      <x:c r="D338" s="8" t="str">
        <x:v>Parameter_Tampering 164/196</x:v>
      </x:c>
      <x:c r="E338" s="7" t="str">
        <x:v>Código fuente Java</x:v>
      </x:c>
      <x:c r="F338" s="7" t="str"/>
      <x:c r="G338" s="7" t="str">
        <x:v>CWE-472</x:v>
      </x:c>
      <x:c r="H338" s="7" t="str"/>
      <x:c r="I338" s="7" t="n">
        <x:v>20</x:v>
      </x:c>
      <x:c r="J338" s="9" t="str">
        <x:v>PENDIENTE</x:v>
      </x:c>
      <x:c r="K338" s="10" t="n">
        <x:v>46798</x:v>
      </x:c>
      <x:c r="L338" s="7" t="str">
        <x:v>Avance 2028-02-15</x:v>
      </x:c>
      <x:c r="M338" s="8" t="str">
        <x:v>Validar aplicabilidad antes de remediar.</x:v>
      </x:c>
      <x:c r="N338" s="17"/>
      <x:c r="O338" s="17"/>
    </x:row>
    <x:row r="339" ht="15" hidden="0" customHeight="1">
      <x:c r="A339" s="7" t="str">
        <x:v>SIAJ-0180</x:v>
      </x:c>
      <x:c r="B339" s="7" t="str">
        <x:v>SAST</x:v>
      </x:c>
      <x:c r="C339" s="7" t="str">
        <x:v>MEDIUM</x:v>
      </x:c>
      <x:c r="D339" s="8" t="str">
        <x:v>Parameter_Tampering 165/196</x:v>
      </x:c>
      <x:c r="E339" s="7" t="str">
        <x:v>Código fuente Java</x:v>
      </x:c>
      <x:c r="F339" s="7" t="str"/>
      <x:c r="G339" s="7" t="str">
        <x:v>CWE-472</x:v>
      </x:c>
      <x:c r="H339" s="7" t="str"/>
      <x:c r="I339" s="7" t="n">
        <x:v>20</x:v>
      </x:c>
      <x:c r="J339" s="9" t="str">
        <x:v>PENDIENTE</x:v>
      </x:c>
      <x:c r="K339" s="10" t="n">
        <x:v>46827</x:v>
      </x:c>
      <x:c r="L339" s="7" t="str">
        <x:v>Avance 2028-03-15</x:v>
      </x:c>
      <x:c r="M339" s="8" t="str">
        <x:v>Validar aplicabilidad antes de remediar.</x:v>
      </x:c>
      <x:c r="N339" s="17"/>
      <x:c r="O339" s="17"/>
    </x:row>
    <x:row r="340" ht="15" hidden="0" customHeight="1">
      <x:c r="A340" s="7" t="str">
        <x:v>SIAJ-0181</x:v>
      </x:c>
      <x:c r="B340" s="7" t="str">
        <x:v>SAST</x:v>
      </x:c>
      <x:c r="C340" s="7" t="str">
        <x:v>MEDIUM</x:v>
      </x:c>
      <x:c r="D340" s="8" t="str">
        <x:v>Parameter_Tampering 166/196</x:v>
      </x:c>
      <x:c r="E340" s="7" t="str">
        <x:v>Código fuente Java</x:v>
      </x:c>
      <x:c r="F340" s="7" t="str"/>
      <x:c r="G340" s="7" t="str">
        <x:v>CWE-472</x:v>
      </x:c>
      <x:c r="H340" s="7" t="str"/>
      <x:c r="I340" s="7" t="n">
        <x:v>20</x:v>
      </x:c>
      <x:c r="J340" s="9" t="str">
        <x:v>PENDIENTE</x:v>
      </x:c>
      <x:c r="K340" s="10" t="n">
        <x:v>46827</x:v>
      </x:c>
      <x:c r="L340" s="7" t="str">
        <x:v>Avance 2028-03-15</x:v>
      </x:c>
      <x:c r="M340" s="8" t="str">
        <x:v>Validar aplicabilidad antes de remediar.</x:v>
      </x:c>
      <x:c r="N340" s="17"/>
      <x:c r="O340" s="17"/>
    </x:row>
    <x:row r="341" ht="15" hidden="0" customHeight="1">
      <x:c r="A341" s="7" t="str">
        <x:v>SIAJ-0182</x:v>
      </x:c>
      <x:c r="B341" s="7" t="str">
        <x:v>SAST</x:v>
      </x:c>
      <x:c r="C341" s="7" t="str">
        <x:v>MEDIUM</x:v>
      </x:c>
      <x:c r="D341" s="8" t="str">
        <x:v>Parameter_Tampering 167/196</x:v>
      </x:c>
      <x:c r="E341" s="7" t="str">
        <x:v>Código fuente Java</x:v>
      </x:c>
      <x:c r="F341" s="7" t="str"/>
      <x:c r="G341" s="7" t="str">
        <x:v>CWE-472</x:v>
      </x:c>
      <x:c r="H341" s="7" t="str"/>
      <x:c r="I341" s="7" t="n">
        <x:v>20</x:v>
      </x:c>
      <x:c r="J341" s="9" t="str">
        <x:v>PENDIENTE</x:v>
      </x:c>
      <x:c r="K341" s="10" t="n">
        <x:v>46827</x:v>
      </x:c>
      <x:c r="L341" s="7" t="str">
        <x:v>Avance 2028-03-15</x:v>
      </x:c>
      <x:c r="M341" s="8" t="str">
        <x:v>Validar aplicabilidad antes de remediar.</x:v>
      </x:c>
      <x:c r="N341" s="17"/>
      <x:c r="O341" s="17"/>
    </x:row>
    <x:row r="342" ht="15" hidden="0" customHeight="1">
      <x:c r="A342" s="7" t="str">
        <x:v>SIAJ-0183</x:v>
      </x:c>
      <x:c r="B342" s="7" t="str">
        <x:v>SAST</x:v>
      </x:c>
      <x:c r="C342" s="7" t="str">
        <x:v>MEDIUM</x:v>
      </x:c>
      <x:c r="D342" s="8" t="str">
        <x:v>Parameter_Tampering 168/196</x:v>
      </x:c>
      <x:c r="E342" s="7" t="str">
        <x:v>Código fuente Java</x:v>
      </x:c>
      <x:c r="F342" s="7" t="str"/>
      <x:c r="G342" s="7" t="str">
        <x:v>CWE-472</x:v>
      </x:c>
      <x:c r="H342" s="7" t="str"/>
      <x:c r="I342" s="7" t="n">
        <x:v>20</x:v>
      </x:c>
      <x:c r="J342" s="9" t="str">
        <x:v>PENDIENTE</x:v>
      </x:c>
      <x:c r="K342" s="10" t="n">
        <x:v>46827</x:v>
      </x:c>
      <x:c r="L342" s="7" t="str">
        <x:v>Avance 2028-03-15</x:v>
      </x:c>
      <x:c r="M342" s="8" t="str">
        <x:v>Validar aplicabilidad antes de remediar.</x:v>
      </x:c>
      <x:c r="N342" s="17"/>
      <x:c r="O342" s="17"/>
    </x:row>
    <x:row r="343" ht="15" hidden="0" customHeight="1">
      <x:c r="A343" s="7" t="str">
        <x:v>SIAJ-0184</x:v>
      </x:c>
      <x:c r="B343" s="7" t="str">
        <x:v>SAST</x:v>
      </x:c>
      <x:c r="C343" s="7" t="str">
        <x:v>MEDIUM</x:v>
      </x:c>
      <x:c r="D343" s="8" t="str">
        <x:v>Parameter_Tampering 169/196</x:v>
      </x:c>
      <x:c r="E343" s="7" t="str">
        <x:v>Código fuente Java</x:v>
      </x:c>
      <x:c r="F343" s="7" t="str"/>
      <x:c r="G343" s="7" t="str">
        <x:v>CWE-472</x:v>
      </x:c>
      <x:c r="H343" s="7" t="str"/>
      <x:c r="I343" s="7" t="n">
        <x:v>20</x:v>
      </x:c>
      <x:c r="J343" s="9" t="str">
        <x:v>PENDIENTE</x:v>
      </x:c>
      <x:c r="K343" s="10" t="n">
        <x:v>46827</x:v>
      </x:c>
      <x:c r="L343" s="7" t="str">
        <x:v>Avance 2028-03-15</x:v>
      </x:c>
      <x:c r="M343" s="8" t="str">
        <x:v>Validar aplicabilidad antes de remediar.</x:v>
      </x:c>
      <x:c r="N343" s="17"/>
      <x:c r="O343" s="17"/>
    </x:row>
    <x:row r="344" ht="15" hidden="0" customHeight="1">
      <x:c r="A344" s="7" t="str">
        <x:v>SIAJ-0032</x:v>
      </x:c>
      <x:c r="B344" s="7" t="str">
        <x:v>SAST</x:v>
      </x:c>
      <x:c r="C344" s="7" t="str">
        <x:v>MEDIUM</x:v>
      </x:c>
      <x:c r="D344" s="8" t="str">
        <x:v>Parameter_Tampering 17/196</x:v>
      </x:c>
      <x:c r="E344" s="7" t="str">
        <x:v>Código fuente Java</x:v>
      </x:c>
      <x:c r="F344" s="7" t="str"/>
      <x:c r="G344" s="7" t="str">
        <x:v>CWE-472</x:v>
      </x:c>
      <x:c r="H344" s="7" t="str"/>
      <x:c r="I344" s="7" t="n">
        <x:v>20</x:v>
      </x:c>
      <x:c r="J344" s="9" t="str">
        <x:v>PENDIENTE</x:v>
      </x:c>
      <x:c r="K344" s="10" t="n">
        <x:v>46827</x:v>
      </x:c>
      <x:c r="L344" s="7" t="str">
        <x:v>Avance 2028-03-15</x:v>
      </x:c>
      <x:c r="M344" s="8" t="str">
        <x:v>Validar aplicabilidad antes de remediar.</x:v>
      </x:c>
      <x:c r="N344" s="17"/>
      <x:c r="O344" s="17"/>
    </x:row>
    <x:row r="345" ht="15" hidden="0" customHeight="1">
      <x:c r="A345" s="7" t="str">
        <x:v>SIAJ-0185</x:v>
      </x:c>
      <x:c r="B345" s="7" t="str">
        <x:v>SAST</x:v>
      </x:c>
      <x:c r="C345" s="7" t="str">
        <x:v>MEDIUM</x:v>
      </x:c>
      <x:c r="D345" s="8" t="str">
        <x:v>Parameter_Tampering 170/196</x:v>
      </x:c>
      <x:c r="E345" s="7" t="str">
        <x:v>Código fuente Java</x:v>
      </x:c>
      <x:c r="F345" s="7" t="str"/>
      <x:c r="G345" s="7" t="str">
        <x:v>CWE-472</x:v>
      </x:c>
      <x:c r="H345" s="7" t="str"/>
      <x:c r="I345" s="7" t="n">
        <x:v>20</x:v>
      </x:c>
      <x:c r="J345" s="9" t="str">
        <x:v>PENDIENTE</x:v>
      </x:c>
      <x:c r="K345" s="10" t="n">
        <x:v>46827</x:v>
      </x:c>
      <x:c r="L345" s="7" t="str">
        <x:v>Avance 2028-03-15</x:v>
      </x:c>
      <x:c r="M345" s="8" t="str">
        <x:v>Validar aplicabilidad antes de remediar.</x:v>
      </x:c>
      <x:c r="N345" s="17"/>
      <x:c r="O345" s="17"/>
    </x:row>
    <x:row r="346" ht="15" hidden="0" customHeight="1">
      <x:c r="A346" s="7" t="str">
        <x:v>SIAJ-0186</x:v>
      </x:c>
      <x:c r="B346" s="7" t="str">
        <x:v>SAST</x:v>
      </x:c>
      <x:c r="C346" s="7" t="str">
        <x:v>MEDIUM</x:v>
      </x:c>
      <x:c r="D346" s="8" t="str">
        <x:v>Parameter_Tampering 171/196</x:v>
      </x:c>
      <x:c r="E346" s="7" t="str">
        <x:v>Código fuente Java</x:v>
      </x:c>
      <x:c r="F346" s="7" t="str"/>
      <x:c r="G346" s="7" t="str">
        <x:v>CWE-472</x:v>
      </x:c>
      <x:c r="H346" s="7" t="str"/>
      <x:c r="I346" s="7" t="n">
        <x:v>20</x:v>
      </x:c>
      <x:c r="J346" s="9" t="str">
        <x:v>PENDIENTE</x:v>
      </x:c>
      <x:c r="K346" s="10" t="n">
        <x:v>46827</x:v>
      </x:c>
      <x:c r="L346" s="7" t="str">
        <x:v>Avance 2028-03-15</x:v>
      </x:c>
      <x:c r="M346" s="8" t="str">
        <x:v>Validar aplicabilidad antes de remediar.</x:v>
      </x:c>
      <x:c r="N346" s="17"/>
      <x:c r="O346" s="17"/>
    </x:row>
    <x:row r="347" ht="15" hidden="0" customHeight="1">
      <x:c r="A347" s="7" t="str">
        <x:v>SIAJ-0187</x:v>
      </x:c>
      <x:c r="B347" s="7" t="str">
        <x:v>SAST</x:v>
      </x:c>
      <x:c r="C347" s="7" t="str">
        <x:v>MEDIUM</x:v>
      </x:c>
      <x:c r="D347" s="8" t="str">
        <x:v>Parameter_Tampering 172/196</x:v>
      </x:c>
      <x:c r="E347" s="7" t="str">
        <x:v>Código fuente Java</x:v>
      </x:c>
      <x:c r="F347" s="7" t="str"/>
      <x:c r="G347" s="7" t="str">
        <x:v>CWE-472</x:v>
      </x:c>
      <x:c r="H347" s="7" t="str"/>
      <x:c r="I347" s="7" t="n">
        <x:v>20</x:v>
      </x:c>
      <x:c r="J347" s="9" t="str">
        <x:v>PENDIENTE</x:v>
      </x:c>
      <x:c r="K347" s="10" t="n">
        <x:v>46827</x:v>
      </x:c>
      <x:c r="L347" s="7" t="str">
        <x:v>Avance 2028-03-15</x:v>
      </x:c>
      <x:c r="M347" s="8" t="str">
        <x:v>Validar aplicabilidad antes de remediar.</x:v>
      </x:c>
      <x:c r="N347" s="17"/>
      <x:c r="O347" s="17"/>
    </x:row>
    <x:row r="348" ht="15" hidden="0" customHeight="1">
      <x:c r="A348" s="7" t="str">
        <x:v>SIAJ-0188</x:v>
      </x:c>
      <x:c r="B348" s="7" t="str">
        <x:v>SAST</x:v>
      </x:c>
      <x:c r="C348" s="7" t="str">
        <x:v>MEDIUM</x:v>
      </x:c>
      <x:c r="D348" s="8" t="str">
        <x:v>Parameter_Tampering 173/196</x:v>
      </x:c>
      <x:c r="E348" s="7" t="str">
        <x:v>Código fuente Java</x:v>
      </x:c>
      <x:c r="F348" s="7" t="str"/>
      <x:c r="G348" s="7" t="str">
        <x:v>CWE-472</x:v>
      </x:c>
      <x:c r="H348" s="7" t="str"/>
      <x:c r="I348" s="7" t="n">
        <x:v>20</x:v>
      </x:c>
      <x:c r="J348" s="9" t="str">
        <x:v>PENDIENTE</x:v>
      </x:c>
      <x:c r="K348" s="10" t="n">
        <x:v>46827</x:v>
      </x:c>
      <x:c r="L348" s="7" t="str">
        <x:v>Avance 2028-03-15</x:v>
      </x:c>
      <x:c r="M348" s="8" t="str">
        <x:v>Validar aplicabilidad antes de remediar.</x:v>
      </x:c>
      <x:c r="N348" s="17"/>
      <x:c r="O348" s="17"/>
    </x:row>
    <x:row r="349" ht="15" hidden="0" customHeight="1">
      <x:c r="A349" s="7" t="str">
        <x:v>SIAJ-0189</x:v>
      </x:c>
      <x:c r="B349" s="7" t="str">
        <x:v>SAST</x:v>
      </x:c>
      <x:c r="C349" s="7" t="str">
        <x:v>MEDIUM</x:v>
      </x:c>
      <x:c r="D349" s="8" t="str">
        <x:v>Parameter_Tampering 174/196</x:v>
      </x:c>
      <x:c r="E349" s="7" t="str">
        <x:v>Código fuente Java</x:v>
      </x:c>
      <x:c r="F349" s="7" t="str"/>
      <x:c r="G349" s="7" t="str">
        <x:v>CWE-472</x:v>
      </x:c>
      <x:c r="H349" s="7" t="str"/>
      <x:c r="I349" s="7" t="n">
        <x:v>20</x:v>
      </x:c>
      <x:c r="J349" s="9" t="str">
        <x:v>PENDIENTE</x:v>
      </x:c>
      <x:c r="K349" s="10" t="n">
        <x:v>46827</x:v>
      </x:c>
      <x:c r="L349" s="7" t="str">
        <x:v>Avance 2028-03-15</x:v>
      </x:c>
      <x:c r="M349" s="8" t="str">
        <x:v>Validar aplicabilidad antes de remediar.</x:v>
      </x:c>
      <x:c r="N349" s="17"/>
      <x:c r="O349" s="17"/>
    </x:row>
    <x:row r="350" ht="15" hidden="0" customHeight="1">
      <x:c r="A350" s="7" t="str">
        <x:v>SIAJ-0190</x:v>
      </x:c>
      <x:c r="B350" s="7" t="str">
        <x:v>SAST</x:v>
      </x:c>
      <x:c r="C350" s="7" t="str">
        <x:v>MEDIUM</x:v>
      </x:c>
      <x:c r="D350" s="8" t="str">
        <x:v>Parameter_Tampering 175/196</x:v>
      </x:c>
      <x:c r="E350" s="7" t="str">
        <x:v>Código fuente Java</x:v>
      </x:c>
      <x:c r="F350" s="7" t="str"/>
      <x:c r="G350" s="7" t="str">
        <x:v>CWE-472</x:v>
      </x:c>
      <x:c r="H350" s="7" t="str"/>
      <x:c r="I350" s="7" t="n">
        <x:v>20</x:v>
      </x:c>
      <x:c r="J350" s="9" t="str">
        <x:v>PENDIENTE</x:v>
      </x:c>
      <x:c r="K350" s="10" t="n">
        <x:v>46827</x:v>
      </x:c>
      <x:c r="L350" s="7" t="str">
        <x:v>Avance 2028-03-15</x:v>
      </x:c>
      <x:c r="M350" s="8" t="str">
        <x:v>Validar aplicabilidad antes de remediar.</x:v>
      </x:c>
      <x:c r="N350" s="17"/>
      <x:c r="O350" s="17"/>
    </x:row>
    <x:row r="351" ht="15" hidden="0" customHeight="1">
      <x:c r="A351" s="7" t="str">
        <x:v>SIAJ-0191</x:v>
      </x:c>
      <x:c r="B351" s="7" t="str">
        <x:v>SAST</x:v>
      </x:c>
      <x:c r="C351" s="7" t="str">
        <x:v>MEDIUM</x:v>
      </x:c>
      <x:c r="D351" s="8" t="str">
        <x:v>Parameter_Tampering 176/196</x:v>
      </x:c>
      <x:c r="E351" s="7" t="str">
        <x:v>Código fuente Java</x:v>
      </x:c>
      <x:c r="F351" s="7" t="str"/>
      <x:c r="G351" s="7" t="str">
        <x:v>CWE-472</x:v>
      </x:c>
      <x:c r="H351" s="7" t="str"/>
      <x:c r="I351" s="7" t="n">
        <x:v>20</x:v>
      </x:c>
      <x:c r="J351" s="9" t="str">
        <x:v>PENDIENTE</x:v>
      </x:c>
      <x:c r="K351" s="10" t="n">
        <x:v>46827</x:v>
      </x:c>
      <x:c r="L351" s="7" t="str">
        <x:v>Avance 2028-03-15</x:v>
      </x:c>
      <x:c r="M351" s="8" t="str">
        <x:v>Validar aplicabilidad antes de remediar.</x:v>
      </x:c>
      <x:c r="N351" s="17"/>
      <x:c r="O351" s="17"/>
    </x:row>
    <x:row r="352" ht="15" hidden="0" customHeight="1">
      <x:c r="A352" s="7" t="str">
        <x:v>SIAJ-0192</x:v>
      </x:c>
      <x:c r="B352" s="7" t="str">
        <x:v>SAST</x:v>
      </x:c>
      <x:c r="C352" s="7" t="str">
        <x:v>MEDIUM</x:v>
      </x:c>
      <x:c r="D352" s="8" t="str">
        <x:v>Parameter_Tampering 177/196</x:v>
      </x:c>
      <x:c r="E352" s="7" t="str">
        <x:v>Código fuente Java</x:v>
      </x:c>
      <x:c r="F352" s="7" t="str"/>
      <x:c r="G352" s="7" t="str">
        <x:v>CWE-472</x:v>
      </x:c>
      <x:c r="H352" s="7" t="str"/>
      <x:c r="I352" s="7" t="n">
        <x:v>20</x:v>
      </x:c>
      <x:c r="J352" s="9" t="str">
        <x:v>PENDIENTE</x:v>
      </x:c>
      <x:c r="K352" s="10" t="n">
        <x:v>46827</x:v>
      </x:c>
      <x:c r="L352" s="7" t="str">
        <x:v>Avance 2028-03-15</x:v>
      </x:c>
      <x:c r="M352" s="8" t="str">
        <x:v>Validar aplicabilidad antes de remediar.</x:v>
      </x:c>
      <x:c r="N352" s="17"/>
      <x:c r="O352" s="17"/>
    </x:row>
    <x:row r="353" ht="15" hidden="0" customHeight="1">
      <x:c r="A353" s="7" t="str">
        <x:v>SIAJ-0193</x:v>
      </x:c>
      <x:c r="B353" s="7" t="str">
        <x:v>SAST</x:v>
      </x:c>
      <x:c r="C353" s="7" t="str">
        <x:v>MEDIUM</x:v>
      </x:c>
      <x:c r="D353" s="8" t="str">
        <x:v>Parameter_Tampering 178/196</x:v>
      </x:c>
      <x:c r="E353" s="7" t="str">
        <x:v>Código fuente Java</x:v>
      </x:c>
      <x:c r="F353" s="7" t="str"/>
      <x:c r="G353" s="7" t="str">
        <x:v>CWE-472</x:v>
      </x:c>
      <x:c r="H353" s="7" t="str"/>
      <x:c r="I353" s="7" t="n">
        <x:v>20</x:v>
      </x:c>
      <x:c r="J353" s="9" t="str">
        <x:v>PENDIENTE</x:v>
      </x:c>
      <x:c r="K353" s="10" t="n">
        <x:v>46827</x:v>
      </x:c>
      <x:c r="L353" s="7" t="str">
        <x:v>Avance 2028-03-15</x:v>
      </x:c>
      <x:c r="M353" s="8" t="str">
        <x:v>Validar aplicabilidad antes de remediar.</x:v>
      </x:c>
      <x:c r="N353" s="17"/>
      <x:c r="O353" s="17"/>
    </x:row>
    <x:row r="354" ht="15" hidden="0" customHeight="1">
      <x:c r="A354" s="7" t="str">
        <x:v>SIAJ-0194</x:v>
      </x:c>
      <x:c r="B354" s="7" t="str">
        <x:v>SAST</x:v>
      </x:c>
      <x:c r="C354" s="7" t="str">
        <x:v>MEDIUM</x:v>
      </x:c>
      <x:c r="D354" s="8" t="str">
        <x:v>Parameter_Tampering 179/196</x:v>
      </x:c>
      <x:c r="E354" s="7" t="str">
        <x:v>Código fuente Java</x:v>
      </x:c>
      <x:c r="F354" s="7" t="str"/>
      <x:c r="G354" s="7" t="str">
        <x:v>CWE-472</x:v>
      </x:c>
      <x:c r="H354" s="7" t="str"/>
      <x:c r="I354" s="7" t="n">
        <x:v>20</x:v>
      </x:c>
      <x:c r="J354" s="9" t="str">
        <x:v>PENDIENTE</x:v>
      </x:c>
      <x:c r="K354" s="10" t="n">
        <x:v>46827</x:v>
      </x:c>
      <x:c r="L354" s="7" t="str">
        <x:v>Avance 2028-03-15</x:v>
      </x:c>
      <x:c r="M354" s="8" t="str">
        <x:v>Validar aplicabilidad antes de remediar.</x:v>
      </x:c>
      <x:c r="N354" s="17"/>
      <x:c r="O354" s="17"/>
    </x:row>
    <x:row r="355" ht="15" hidden="0" customHeight="1">
      <x:c r="A355" s="7" t="str">
        <x:v>SIAJ-0033</x:v>
      </x:c>
      <x:c r="B355" s="7" t="str">
        <x:v>SAST</x:v>
      </x:c>
      <x:c r="C355" s="7" t="str">
        <x:v>MEDIUM</x:v>
      </x:c>
      <x:c r="D355" s="8" t="str">
        <x:v>Parameter_Tampering 18/196</x:v>
      </x:c>
      <x:c r="E355" s="7" t="str">
        <x:v>Código fuente Java</x:v>
      </x:c>
      <x:c r="F355" s="7" t="str"/>
      <x:c r="G355" s="7" t="str">
        <x:v>CWE-472</x:v>
      </x:c>
      <x:c r="H355" s="7" t="str"/>
      <x:c r="I355" s="7" t="n">
        <x:v>20</x:v>
      </x:c>
      <x:c r="J355" s="9" t="str">
        <x:v>PENDIENTE</x:v>
      </x:c>
      <x:c r="K355" s="10" t="n">
        <x:v>46827</x:v>
      </x:c>
      <x:c r="L355" s="7" t="str">
        <x:v>Avance 2028-03-15</x:v>
      </x:c>
      <x:c r="M355" s="8" t="str">
        <x:v>Validar aplicabilidad antes de remediar.</x:v>
      </x:c>
      <x:c r="N355" s="17"/>
      <x:c r="O355" s="17"/>
    </x:row>
    <x:row r="356" ht="15" hidden="0" customHeight="1">
      <x:c r="A356" s="7" t="str">
        <x:v>SIAJ-0195</x:v>
      </x:c>
      <x:c r="B356" s="7" t="str">
        <x:v>SAST</x:v>
      </x:c>
      <x:c r="C356" s="7" t="str">
        <x:v>MEDIUM</x:v>
      </x:c>
      <x:c r="D356" s="8" t="str">
        <x:v>Parameter_Tampering 180/196</x:v>
      </x:c>
      <x:c r="E356" s="7" t="str">
        <x:v>Código fuente Java</x:v>
      </x:c>
      <x:c r="F356" s="7" t="str"/>
      <x:c r="G356" s="7" t="str">
        <x:v>CWE-472</x:v>
      </x:c>
      <x:c r="H356" s="7" t="str"/>
      <x:c r="I356" s="7" t="n">
        <x:v>20</x:v>
      </x:c>
      <x:c r="J356" s="9" t="str">
        <x:v>PENDIENTE</x:v>
      </x:c>
      <x:c r="K356" s="10" t="n">
        <x:v>46827</x:v>
      </x:c>
      <x:c r="L356" s="7" t="str">
        <x:v>Avance 2028-03-15</x:v>
      </x:c>
      <x:c r="M356" s="8" t="str">
        <x:v>Validar aplicabilidad antes de remediar.</x:v>
      </x:c>
      <x:c r="N356" s="17"/>
      <x:c r="O356" s="17"/>
    </x:row>
    <x:row r="357" ht="15" hidden="0" customHeight="1">
      <x:c r="A357" s="7" t="str">
        <x:v>SIAJ-0196</x:v>
      </x:c>
      <x:c r="B357" s="7" t="str">
        <x:v>SAST</x:v>
      </x:c>
      <x:c r="C357" s="7" t="str">
        <x:v>MEDIUM</x:v>
      </x:c>
      <x:c r="D357" s="8" t="str">
        <x:v>Parameter_Tampering 181/196</x:v>
      </x:c>
      <x:c r="E357" s="7" t="str">
        <x:v>Código fuente Java</x:v>
      </x:c>
      <x:c r="F357" s="7" t="str"/>
      <x:c r="G357" s="7" t="str">
        <x:v>CWE-472</x:v>
      </x:c>
      <x:c r="H357" s="7" t="str"/>
      <x:c r="I357" s="7" t="n">
        <x:v>20</x:v>
      </x:c>
      <x:c r="J357" s="9" t="str">
        <x:v>PENDIENTE</x:v>
      </x:c>
      <x:c r="K357" s="10" t="n">
        <x:v>46858</x:v>
      </x:c>
      <x:c r="L357" s="7" t="str">
        <x:v>Avance 2028-04-15</x:v>
      </x:c>
      <x:c r="M357" s="8" t="str">
        <x:v>Validar aplicabilidad antes de remediar.</x:v>
      </x:c>
      <x:c r="N357" s="17"/>
      <x:c r="O357" s="17"/>
    </x:row>
    <x:row r="358" ht="15" hidden="0" customHeight="1">
      <x:c r="A358" s="7" t="str">
        <x:v>SIAJ-0197</x:v>
      </x:c>
      <x:c r="B358" s="7" t="str">
        <x:v>SAST</x:v>
      </x:c>
      <x:c r="C358" s="7" t="str">
        <x:v>MEDIUM</x:v>
      </x:c>
      <x:c r="D358" s="8" t="str">
        <x:v>Parameter_Tampering 182/196</x:v>
      </x:c>
      <x:c r="E358" s="7" t="str">
        <x:v>Código fuente Java</x:v>
      </x:c>
      <x:c r="F358" s="7" t="str"/>
      <x:c r="G358" s="7" t="str">
        <x:v>CWE-472</x:v>
      </x:c>
      <x:c r="H358" s="7" t="str"/>
      <x:c r="I358" s="7" t="n">
        <x:v>20</x:v>
      </x:c>
      <x:c r="J358" s="9" t="str">
        <x:v>PENDIENTE</x:v>
      </x:c>
      <x:c r="K358" s="10" t="n">
        <x:v>46858</x:v>
      </x:c>
      <x:c r="L358" s="7" t="str">
        <x:v>Avance 2028-04-15</x:v>
      </x:c>
      <x:c r="M358" s="8" t="str">
        <x:v>Validar aplicabilidad antes de remediar.</x:v>
      </x:c>
      <x:c r="N358" s="17"/>
      <x:c r="O358" s="17"/>
    </x:row>
    <x:row r="359" ht="15" hidden="0" customHeight="1">
      <x:c r="A359" s="7" t="str">
        <x:v>SIAJ-0198</x:v>
      </x:c>
      <x:c r="B359" s="7" t="str">
        <x:v>SAST</x:v>
      </x:c>
      <x:c r="C359" s="7" t="str">
        <x:v>MEDIUM</x:v>
      </x:c>
      <x:c r="D359" s="8" t="str">
        <x:v>Parameter_Tampering 183/196</x:v>
      </x:c>
      <x:c r="E359" s="7" t="str">
        <x:v>Código fuente Java</x:v>
      </x:c>
      <x:c r="F359" s="7" t="str"/>
      <x:c r="G359" s="7" t="str">
        <x:v>CWE-472</x:v>
      </x:c>
      <x:c r="H359" s="7" t="str"/>
      <x:c r="I359" s="7" t="n">
        <x:v>20</x:v>
      </x:c>
      <x:c r="J359" s="9" t="str">
        <x:v>PENDIENTE</x:v>
      </x:c>
      <x:c r="K359" s="10" t="n">
        <x:v>46858</x:v>
      </x:c>
      <x:c r="L359" s="7" t="str">
        <x:v>Avance 2028-04-15</x:v>
      </x:c>
      <x:c r="M359" s="8" t="str">
        <x:v>Validar aplicabilidad antes de remediar.</x:v>
      </x:c>
      <x:c r="N359" s="17"/>
      <x:c r="O359" s="17"/>
    </x:row>
    <x:row r="360" ht="15" hidden="0" customHeight="1">
      <x:c r="A360" s="7" t="str">
        <x:v>SIAJ-0199</x:v>
      </x:c>
      <x:c r="B360" s="7" t="str">
        <x:v>SAST</x:v>
      </x:c>
      <x:c r="C360" s="7" t="str">
        <x:v>MEDIUM</x:v>
      </x:c>
      <x:c r="D360" s="8" t="str">
        <x:v>Parameter_Tampering 184/196</x:v>
      </x:c>
      <x:c r="E360" s="7" t="str">
        <x:v>Código fuente Java</x:v>
      </x:c>
      <x:c r="F360" s="7" t="str"/>
      <x:c r="G360" s="7" t="str">
        <x:v>CWE-472</x:v>
      </x:c>
      <x:c r="H360" s="7" t="str"/>
      <x:c r="I360" s="7" t="n">
        <x:v>20</x:v>
      </x:c>
      <x:c r="J360" s="9" t="str">
        <x:v>PENDIENTE</x:v>
      </x:c>
      <x:c r="K360" s="10" t="n">
        <x:v>46858</x:v>
      </x:c>
      <x:c r="L360" s="7" t="str">
        <x:v>Avance 2028-04-15</x:v>
      </x:c>
      <x:c r="M360" s="8" t="str">
        <x:v>Validar aplicabilidad antes de remediar.</x:v>
      </x:c>
      <x:c r="N360" s="17"/>
      <x:c r="O360" s="17"/>
    </x:row>
    <x:row r="361" ht="15" hidden="0" customHeight="1">
      <x:c r="A361" s="7" t="str">
        <x:v>SIAJ-0200</x:v>
      </x:c>
      <x:c r="B361" s="7" t="str">
        <x:v>SAST</x:v>
      </x:c>
      <x:c r="C361" s="7" t="str">
        <x:v>MEDIUM</x:v>
      </x:c>
      <x:c r="D361" s="8" t="str">
        <x:v>Parameter_Tampering 185/196</x:v>
      </x:c>
      <x:c r="E361" s="7" t="str">
        <x:v>Código fuente Java</x:v>
      </x:c>
      <x:c r="F361" s="7" t="str"/>
      <x:c r="G361" s="7" t="str">
        <x:v>CWE-472</x:v>
      </x:c>
      <x:c r="H361" s="7" t="str"/>
      <x:c r="I361" s="7" t="n">
        <x:v>20</x:v>
      </x:c>
      <x:c r="J361" s="9" t="str">
        <x:v>PENDIENTE</x:v>
      </x:c>
      <x:c r="K361" s="10" t="n">
        <x:v>46858</x:v>
      </x:c>
      <x:c r="L361" s="7" t="str">
        <x:v>Avance 2028-04-15</x:v>
      </x:c>
      <x:c r="M361" s="8" t="str">
        <x:v>Validar aplicabilidad antes de remediar.</x:v>
      </x:c>
      <x:c r="N361" s="17"/>
      <x:c r="O361" s="17"/>
    </x:row>
    <x:row r="362" ht="15" hidden="0" customHeight="1">
      <x:c r="A362" s="7" t="str">
        <x:v>SIAJ-0201</x:v>
      </x:c>
      <x:c r="B362" s="7" t="str">
        <x:v>SAST</x:v>
      </x:c>
      <x:c r="C362" s="7" t="str">
        <x:v>MEDIUM</x:v>
      </x:c>
      <x:c r="D362" s="8" t="str">
        <x:v>Parameter_Tampering 186/196</x:v>
      </x:c>
      <x:c r="E362" s="7" t="str">
        <x:v>Código fuente Java</x:v>
      </x:c>
      <x:c r="F362" s="7" t="str"/>
      <x:c r="G362" s="7" t="str">
        <x:v>CWE-472</x:v>
      </x:c>
      <x:c r="H362" s="7" t="str"/>
      <x:c r="I362" s="7" t="n">
        <x:v>20</x:v>
      </x:c>
      <x:c r="J362" s="9" t="str">
        <x:v>PENDIENTE</x:v>
      </x:c>
      <x:c r="K362" s="10" t="n">
        <x:v>46858</x:v>
      </x:c>
      <x:c r="L362" s="7" t="str">
        <x:v>Avance 2028-04-15</x:v>
      </x:c>
      <x:c r="M362" s="8" t="str">
        <x:v>Validar aplicabilidad antes de remediar.</x:v>
      </x:c>
      <x:c r="N362" s="17"/>
      <x:c r="O362" s="17"/>
    </x:row>
    <x:row r="363" ht="15" hidden="0" customHeight="1">
      <x:c r="A363" s="7" t="str">
        <x:v>SIAJ-0202</x:v>
      </x:c>
      <x:c r="B363" s="7" t="str">
        <x:v>SAST</x:v>
      </x:c>
      <x:c r="C363" s="7" t="str">
        <x:v>MEDIUM</x:v>
      </x:c>
      <x:c r="D363" s="8" t="str">
        <x:v>Parameter_Tampering 187/196</x:v>
      </x:c>
      <x:c r="E363" s="7" t="str">
        <x:v>Código fuente Java</x:v>
      </x:c>
      <x:c r="F363" s="7" t="str"/>
      <x:c r="G363" s="7" t="str">
        <x:v>CWE-472</x:v>
      </x:c>
      <x:c r="H363" s="7" t="str"/>
      <x:c r="I363" s="7" t="n">
        <x:v>20</x:v>
      </x:c>
      <x:c r="J363" s="9" t="str">
        <x:v>PENDIENTE</x:v>
      </x:c>
      <x:c r="K363" s="10" t="n">
        <x:v>46858</x:v>
      </x:c>
      <x:c r="L363" s="7" t="str">
        <x:v>Avance 2028-04-15</x:v>
      </x:c>
      <x:c r="M363" s="8" t="str">
        <x:v>Validar aplicabilidad antes de remediar.</x:v>
      </x:c>
      <x:c r="N363" s="17"/>
      <x:c r="O363" s="17"/>
    </x:row>
    <x:row r="364" ht="15" hidden="0" customHeight="1">
      <x:c r="A364" s="7" t="str">
        <x:v>SIAJ-0203</x:v>
      </x:c>
      <x:c r="B364" s="7" t="str">
        <x:v>SAST</x:v>
      </x:c>
      <x:c r="C364" s="7" t="str">
        <x:v>MEDIUM</x:v>
      </x:c>
      <x:c r="D364" s="8" t="str">
        <x:v>Parameter_Tampering 188/196</x:v>
      </x:c>
      <x:c r="E364" s="7" t="str">
        <x:v>Código fuente Java</x:v>
      </x:c>
      <x:c r="F364" s="7" t="str"/>
      <x:c r="G364" s="7" t="str">
        <x:v>CWE-472</x:v>
      </x:c>
      <x:c r="H364" s="7" t="str"/>
      <x:c r="I364" s="7" t="n">
        <x:v>20</x:v>
      </x:c>
      <x:c r="J364" s="9" t="str">
        <x:v>PENDIENTE</x:v>
      </x:c>
      <x:c r="K364" s="10" t="n">
        <x:v>46858</x:v>
      </x:c>
      <x:c r="L364" s="7" t="str">
        <x:v>Avance 2028-04-15</x:v>
      </x:c>
      <x:c r="M364" s="8" t="str">
        <x:v>Validar aplicabilidad antes de remediar.</x:v>
      </x:c>
      <x:c r="N364" s="17"/>
      <x:c r="O364" s="17"/>
    </x:row>
    <x:row r="365" ht="15" hidden="0" customHeight="1">
      <x:c r="A365" s="7" t="str">
        <x:v>SIAJ-0204</x:v>
      </x:c>
      <x:c r="B365" s="7" t="str">
        <x:v>SAST</x:v>
      </x:c>
      <x:c r="C365" s="7" t="str">
        <x:v>MEDIUM</x:v>
      </x:c>
      <x:c r="D365" s="8" t="str">
        <x:v>Parameter_Tampering 189/196</x:v>
      </x:c>
      <x:c r="E365" s="7" t="str">
        <x:v>Código fuente Java</x:v>
      </x:c>
      <x:c r="F365" s="7" t="str"/>
      <x:c r="G365" s="7" t="str">
        <x:v>CWE-472</x:v>
      </x:c>
      <x:c r="H365" s="7" t="str"/>
      <x:c r="I365" s="7" t="n">
        <x:v>20</x:v>
      </x:c>
      <x:c r="J365" s="9" t="str">
        <x:v>PENDIENTE</x:v>
      </x:c>
      <x:c r="K365" s="10" t="n">
        <x:v>46858</x:v>
      </x:c>
      <x:c r="L365" s="7" t="str">
        <x:v>Avance 2028-04-15</x:v>
      </x:c>
      <x:c r="M365" s="8" t="str">
        <x:v>Validar aplicabilidad antes de remediar.</x:v>
      </x:c>
      <x:c r="N365" s="17"/>
      <x:c r="O365" s="17"/>
    </x:row>
    <x:row r="366" ht="15" hidden="0" customHeight="1">
      <x:c r="A366" s="7" t="str">
        <x:v>SIAJ-0034</x:v>
      </x:c>
      <x:c r="B366" s="7" t="str">
        <x:v>SAST</x:v>
      </x:c>
      <x:c r="C366" s="7" t="str">
        <x:v>MEDIUM</x:v>
      </x:c>
      <x:c r="D366" s="8" t="str">
        <x:v>Parameter_Tampering 19/196</x:v>
      </x:c>
      <x:c r="E366" s="7" t="str">
        <x:v>Código fuente Java</x:v>
      </x:c>
      <x:c r="F366" s="7" t="str"/>
      <x:c r="G366" s="7" t="str">
        <x:v>CWE-472</x:v>
      </x:c>
      <x:c r="H366" s="7" t="str"/>
      <x:c r="I366" s="7" t="n">
        <x:v>20</x:v>
      </x:c>
      <x:c r="J366" s="9" t="str">
        <x:v>PENDIENTE</x:v>
      </x:c>
      <x:c r="K366" s="10" t="n">
        <x:v>46858</x:v>
      </x:c>
      <x:c r="L366" s="7" t="str">
        <x:v>Avance 2028-04-15</x:v>
      </x:c>
      <x:c r="M366" s="8" t="str">
        <x:v>Validar aplicabilidad antes de remediar.</x:v>
      </x:c>
      <x:c r="N366" s="17"/>
      <x:c r="O366" s="17"/>
    </x:row>
    <x:row r="367" ht="15" hidden="0" customHeight="1">
      <x:c r="A367" s="7" t="str">
        <x:v>SIAJ-0205</x:v>
      </x:c>
      <x:c r="B367" s="7" t="str">
        <x:v>SAST</x:v>
      </x:c>
      <x:c r="C367" s="7" t="str">
        <x:v>MEDIUM</x:v>
      </x:c>
      <x:c r="D367" s="8" t="str">
        <x:v>Parameter_Tampering 190/196</x:v>
      </x:c>
      <x:c r="E367" s="7" t="str">
        <x:v>Código fuente Java</x:v>
      </x:c>
      <x:c r="F367" s="7" t="str"/>
      <x:c r="G367" s="7" t="str">
        <x:v>CWE-472</x:v>
      </x:c>
      <x:c r="H367" s="7" t="str"/>
      <x:c r="I367" s="7" t="n">
        <x:v>20</x:v>
      </x:c>
      <x:c r="J367" s="9" t="str">
        <x:v>PENDIENTE</x:v>
      </x:c>
      <x:c r="K367" s="10" t="n">
        <x:v>46858</x:v>
      </x:c>
      <x:c r="L367" s="7" t="str">
        <x:v>Avance 2028-04-15</x:v>
      </x:c>
      <x:c r="M367" s="8" t="str">
        <x:v>Validar aplicabilidad antes de remediar.</x:v>
      </x:c>
      <x:c r="N367" s="17"/>
      <x:c r="O367" s="17"/>
    </x:row>
    <x:row r="368" ht="15" hidden="0" customHeight="1">
      <x:c r="A368" s="7" t="str">
        <x:v>SIAJ-0206</x:v>
      </x:c>
      <x:c r="B368" s="7" t="str">
        <x:v>SAST</x:v>
      </x:c>
      <x:c r="C368" s="7" t="str">
        <x:v>MEDIUM</x:v>
      </x:c>
      <x:c r="D368" s="8" t="str">
        <x:v>Parameter_Tampering 191/196</x:v>
      </x:c>
      <x:c r="E368" s="7" t="str">
        <x:v>Código fuente Java</x:v>
      </x:c>
      <x:c r="F368" s="7" t="str"/>
      <x:c r="G368" s="7" t="str">
        <x:v>CWE-472</x:v>
      </x:c>
      <x:c r="H368" s="7" t="str"/>
      <x:c r="I368" s="7" t="n">
        <x:v>20</x:v>
      </x:c>
      <x:c r="J368" s="9" t="str">
        <x:v>PENDIENTE</x:v>
      </x:c>
      <x:c r="K368" s="10" t="n">
        <x:v>46858</x:v>
      </x:c>
      <x:c r="L368" s="7" t="str">
        <x:v>Avance 2028-04-15</x:v>
      </x:c>
      <x:c r="M368" s="8" t="str">
        <x:v>Validar aplicabilidad antes de remediar.</x:v>
      </x:c>
      <x:c r="N368" s="17"/>
      <x:c r="O368" s="17"/>
    </x:row>
    <x:row r="369" ht="15" hidden="0" customHeight="1">
      <x:c r="A369" s="7" t="str">
        <x:v>SIAJ-0207</x:v>
      </x:c>
      <x:c r="B369" s="7" t="str">
        <x:v>SAST</x:v>
      </x:c>
      <x:c r="C369" s="7" t="str">
        <x:v>MEDIUM</x:v>
      </x:c>
      <x:c r="D369" s="8" t="str">
        <x:v>Parameter_Tampering 192/196</x:v>
      </x:c>
      <x:c r="E369" s="7" t="str">
        <x:v>Código fuente Java</x:v>
      </x:c>
      <x:c r="F369" s="7" t="str"/>
      <x:c r="G369" s="7" t="str">
        <x:v>CWE-472</x:v>
      </x:c>
      <x:c r="H369" s="7" t="str"/>
      <x:c r="I369" s="7" t="n">
        <x:v>20</x:v>
      </x:c>
      <x:c r="J369" s="9" t="str">
        <x:v>PENDIENTE</x:v>
      </x:c>
      <x:c r="K369" s="10" t="n">
        <x:v>46858</x:v>
      </x:c>
      <x:c r="L369" s="7" t="str">
        <x:v>Avance 2028-04-15</x:v>
      </x:c>
      <x:c r="M369" s="8" t="str">
        <x:v>Validar aplicabilidad antes de remediar.</x:v>
      </x:c>
      <x:c r="N369" s="17"/>
      <x:c r="O369" s="17"/>
    </x:row>
    <x:row r="370" ht="15" hidden="0" customHeight="1">
      <x:c r="A370" s="7" t="str">
        <x:v>SIAJ-0208</x:v>
      </x:c>
      <x:c r="B370" s="7" t="str">
        <x:v>SAST</x:v>
      </x:c>
      <x:c r="C370" s="7" t="str">
        <x:v>MEDIUM</x:v>
      </x:c>
      <x:c r="D370" s="8" t="str">
        <x:v>Parameter_Tampering 193/196</x:v>
      </x:c>
      <x:c r="E370" s="7" t="str">
        <x:v>Código fuente Java</x:v>
      </x:c>
      <x:c r="F370" s="7" t="str"/>
      <x:c r="G370" s="7" t="str">
        <x:v>CWE-472</x:v>
      </x:c>
      <x:c r="H370" s="7" t="str"/>
      <x:c r="I370" s="7" t="n">
        <x:v>20</x:v>
      </x:c>
      <x:c r="J370" s="9" t="str">
        <x:v>PENDIENTE</x:v>
      </x:c>
      <x:c r="K370" s="10" t="n">
        <x:v>46858</x:v>
      </x:c>
      <x:c r="L370" s="7" t="str">
        <x:v>Avance 2028-04-15</x:v>
      </x:c>
      <x:c r="M370" s="8" t="str">
        <x:v>Validar aplicabilidad antes de remediar.</x:v>
      </x:c>
      <x:c r="N370" s="17"/>
      <x:c r="O370" s="17"/>
    </x:row>
    <x:row r="371" ht="15" hidden="0" customHeight="1">
      <x:c r="A371" s="7" t="str">
        <x:v>SIAJ-0209</x:v>
      </x:c>
      <x:c r="B371" s="7" t="str">
        <x:v>SAST</x:v>
      </x:c>
      <x:c r="C371" s="7" t="str">
        <x:v>MEDIUM</x:v>
      </x:c>
      <x:c r="D371" s="8" t="str">
        <x:v>Parameter_Tampering 194/196</x:v>
      </x:c>
      <x:c r="E371" s="7" t="str">
        <x:v>Código fuente Java</x:v>
      </x:c>
      <x:c r="F371" s="7" t="str"/>
      <x:c r="G371" s="7" t="str">
        <x:v>CWE-472</x:v>
      </x:c>
      <x:c r="H371" s="7" t="str"/>
      <x:c r="I371" s="7" t="n">
        <x:v>20</x:v>
      </x:c>
      <x:c r="J371" s="9" t="str">
        <x:v>PENDIENTE</x:v>
      </x:c>
      <x:c r="K371" s="10" t="n">
        <x:v>46858</x:v>
      </x:c>
      <x:c r="L371" s="7" t="str">
        <x:v>Avance 2028-04-15</x:v>
      </x:c>
      <x:c r="M371" s="8" t="str">
        <x:v>Validar aplicabilidad antes de remediar.</x:v>
      </x:c>
      <x:c r="N371" s="17"/>
      <x:c r="O371" s="17"/>
    </x:row>
    <x:row r="372" ht="15" hidden="0" customHeight="1">
      <x:c r="A372" s="7" t="str">
        <x:v>SIAJ-0210</x:v>
      </x:c>
      <x:c r="B372" s="7" t="str">
        <x:v>SAST</x:v>
      </x:c>
      <x:c r="C372" s="7" t="str">
        <x:v>MEDIUM</x:v>
      </x:c>
      <x:c r="D372" s="8" t="str">
        <x:v>Parameter_Tampering 195/196</x:v>
      </x:c>
      <x:c r="E372" s="7" t="str">
        <x:v>Código fuente Java</x:v>
      </x:c>
      <x:c r="F372" s="7" t="str"/>
      <x:c r="G372" s="7" t="str">
        <x:v>CWE-472</x:v>
      </x:c>
      <x:c r="H372" s="7" t="str"/>
      <x:c r="I372" s="7" t="n">
        <x:v>20</x:v>
      </x:c>
      <x:c r="J372" s="9" t="str">
        <x:v>PENDIENTE</x:v>
      </x:c>
      <x:c r="K372" s="10" t="n">
        <x:v>46858</x:v>
      </x:c>
      <x:c r="L372" s="7" t="str">
        <x:v>Avance 2028-04-15</x:v>
      </x:c>
      <x:c r="M372" s="8" t="str">
        <x:v>Validar aplicabilidad antes de remediar.</x:v>
      </x:c>
      <x:c r="N372" s="17"/>
      <x:c r="O372" s="17"/>
    </x:row>
    <x:row r="373" ht="15" hidden="0" customHeight="1">
      <x:c r="A373" s="7" t="str">
        <x:v>SIAJ-0211</x:v>
      </x:c>
      <x:c r="B373" s="7" t="str">
        <x:v>SAST</x:v>
      </x:c>
      <x:c r="C373" s="7" t="str">
        <x:v>MEDIUM</x:v>
      </x:c>
      <x:c r="D373" s="8" t="str">
        <x:v>Parameter_Tampering 196/196</x:v>
      </x:c>
      <x:c r="E373" s="7" t="str">
        <x:v>Código fuente Java</x:v>
      </x:c>
      <x:c r="F373" s="7" t="str"/>
      <x:c r="G373" s="7" t="str">
        <x:v>CWE-472</x:v>
      </x:c>
      <x:c r="H373" s="7" t="str"/>
      <x:c r="I373" s="7" t="n">
        <x:v>20</x:v>
      </x:c>
      <x:c r="J373" s="9" t="str">
        <x:v>PENDIENTE</x:v>
      </x:c>
      <x:c r="K373" s="10" t="n">
        <x:v>46858</x:v>
      </x:c>
      <x:c r="L373" s="7" t="str">
        <x:v>Avance 2028-04-15</x:v>
      </x:c>
      <x:c r="M373" s="8" t="str">
        <x:v>Validar aplicabilidad antes de remediar.</x:v>
      </x:c>
      <x:c r="N373" s="17"/>
      <x:c r="O373" s="17"/>
    </x:row>
    <x:row r="374" ht="15" hidden="0" customHeight="1">
      <x:c r="A374" s="7" t="str">
        <x:v>SIAJ-0017</x:v>
      </x:c>
      <x:c r="B374" s="7" t="str">
        <x:v>SAST</x:v>
      </x:c>
      <x:c r="C374" s="7" t="str">
        <x:v>MEDIUM</x:v>
      </x:c>
      <x:c r="D374" s="8" t="str">
        <x:v>Parameter_Tampering 2/196</x:v>
      </x:c>
      <x:c r="E374" s="7" t="str">
        <x:v>Código fuente Java</x:v>
      </x:c>
      <x:c r="F374" s="7" t="str"/>
      <x:c r="G374" s="7" t="str">
        <x:v>CWE-472</x:v>
      </x:c>
      <x:c r="H374" s="7" t="str"/>
      <x:c r="I374" s="7" t="n">
        <x:v>20</x:v>
      </x:c>
      <x:c r="J374" s="9" t="str">
        <x:v>PENDIENTE</x:v>
      </x:c>
      <x:c r="K374" s="10" t="n">
        <x:v>46858</x:v>
      </x:c>
      <x:c r="L374" s="7" t="str">
        <x:v>Avance 2028-04-15</x:v>
      </x:c>
      <x:c r="M374" s="8" t="str">
        <x:v>Validar aplicabilidad antes de remediar.</x:v>
      </x:c>
      <x:c r="N374" s="17"/>
      <x:c r="O374" s="17"/>
    </x:row>
    <x:row r="375" ht="15" hidden="0" customHeight="1">
      <x:c r="A375" s="7" t="str">
        <x:v>SIAJ-0035</x:v>
      </x:c>
      <x:c r="B375" s="7" t="str">
        <x:v>SAST</x:v>
      </x:c>
      <x:c r="C375" s="7" t="str">
        <x:v>MEDIUM</x:v>
      </x:c>
      <x:c r="D375" s="8" t="str">
        <x:v>Parameter_Tampering 20/196</x:v>
      </x:c>
      <x:c r="E375" s="7" t="str">
        <x:v>Código fuente Java</x:v>
      </x:c>
      <x:c r="F375" s="7" t="str"/>
      <x:c r="G375" s="7" t="str">
        <x:v>CWE-472</x:v>
      </x:c>
      <x:c r="H375" s="7" t="str"/>
      <x:c r="I375" s="7" t="n">
        <x:v>20</x:v>
      </x:c>
      <x:c r="J375" s="9" t="str">
        <x:v>PENDIENTE</x:v>
      </x:c>
      <x:c r="K375" s="10" t="n">
        <x:v>46888</x:v>
      </x:c>
      <x:c r="L375" s="7" t="str">
        <x:v>Avance 2028-05-15</x:v>
      </x:c>
      <x:c r="M375" s="8" t="str">
        <x:v>Validar aplicabilidad antes de remediar.</x:v>
      </x:c>
      <x:c r="N375" s="17"/>
      <x:c r="O375" s="17"/>
    </x:row>
    <x:row r="376" ht="15" hidden="0" customHeight="1">
      <x:c r="A376" s="7" t="str">
        <x:v>SIAJ-0036</x:v>
      </x:c>
      <x:c r="B376" s="7" t="str">
        <x:v>SAST</x:v>
      </x:c>
      <x:c r="C376" s="7" t="str">
        <x:v>MEDIUM</x:v>
      </x:c>
      <x:c r="D376" s="8" t="str">
        <x:v>Parameter_Tampering 21/196</x:v>
      </x:c>
      <x:c r="E376" s="7" t="str">
        <x:v>Código fuente Java</x:v>
      </x:c>
      <x:c r="F376" s="7" t="str"/>
      <x:c r="G376" s="7" t="str">
        <x:v>CWE-472</x:v>
      </x:c>
      <x:c r="H376" s="7" t="str"/>
      <x:c r="I376" s="7" t="n">
        <x:v>20</x:v>
      </x:c>
      <x:c r="J376" s="9" t="str">
        <x:v>PENDIENTE</x:v>
      </x:c>
      <x:c r="K376" s="10" t="n">
        <x:v>46888</x:v>
      </x:c>
      <x:c r="L376" s="7" t="str">
        <x:v>Avance 2028-05-15</x:v>
      </x:c>
      <x:c r="M376" s="8" t="str">
        <x:v>Validar aplicabilidad antes de remediar.</x:v>
      </x:c>
      <x:c r="N376" s="17"/>
      <x:c r="O376" s="17"/>
    </x:row>
    <x:row r="377" ht="15" hidden="0" customHeight="1">
      <x:c r="A377" s="7" t="str">
        <x:v>SIAJ-0037</x:v>
      </x:c>
      <x:c r="B377" s="7" t="str">
        <x:v>SAST</x:v>
      </x:c>
      <x:c r="C377" s="7" t="str">
        <x:v>MEDIUM</x:v>
      </x:c>
      <x:c r="D377" s="8" t="str">
        <x:v>Parameter_Tampering 22/196</x:v>
      </x:c>
      <x:c r="E377" s="7" t="str">
        <x:v>Código fuente Java</x:v>
      </x:c>
      <x:c r="F377" s="7" t="str"/>
      <x:c r="G377" s="7" t="str">
        <x:v>CWE-472</x:v>
      </x:c>
      <x:c r="H377" s="7" t="str"/>
      <x:c r="I377" s="7" t="n">
        <x:v>20</x:v>
      </x:c>
      <x:c r="J377" s="9" t="str">
        <x:v>PENDIENTE</x:v>
      </x:c>
      <x:c r="K377" s="10" t="n">
        <x:v>46888</x:v>
      </x:c>
      <x:c r="L377" s="7" t="str">
        <x:v>Avance 2028-05-15</x:v>
      </x:c>
      <x:c r="M377" s="8" t="str">
        <x:v>Validar aplicabilidad antes de remediar.</x:v>
      </x:c>
      <x:c r="N377" s="17"/>
      <x:c r="O377" s="17"/>
    </x:row>
    <x:row r="378" ht="15" hidden="0" customHeight="1">
      <x:c r="A378" s="7" t="str">
        <x:v>SIAJ-0038</x:v>
      </x:c>
      <x:c r="B378" s="7" t="str">
        <x:v>SAST</x:v>
      </x:c>
      <x:c r="C378" s="7" t="str">
        <x:v>MEDIUM</x:v>
      </x:c>
      <x:c r="D378" s="8" t="str">
        <x:v>Parameter_Tampering 23/196</x:v>
      </x:c>
      <x:c r="E378" s="7" t="str">
        <x:v>Código fuente Java</x:v>
      </x:c>
      <x:c r="F378" s="7" t="str"/>
      <x:c r="G378" s="7" t="str">
        <x:v>CWE-472</x:v>
      </x:c>
      <x:c r="H378" s="7" t="str"/>
      <x:c r="I378" s="7" t="n">
        <x:v>20</x:v>
      </x:c>
      <x:c r="J378" s="9" t="str">
        <x:v>PENDIENTE</x:v>
      </x:c>
      <x:c r="K378" s="10" t="n">
        <x:v>46888</x:v>
      </x:c>
      <x:c r="L378" s="7" t="str">
        <x:v>Avance 2028-05-15</x:v>
      </x:c>
      <x:c r="M378" s="8" t="str">
        <x:v>Validar aplicabilidad antes de remediar.</x:v>
      </x:c>
      <x:c r="N378" s="17"/>
      <x:c r="O378" s="17"/>
    </x:row>
    <x:row r="379" ht="15" hidden="0" customHeight="1">
      <x:c r="A379" s="7" t="str">
        <x:v>SIAJ-0039</x:v>
      </x:c>
      <x:c r="B379" s="7" t="str">
        <x:v>SAST</x:v>
      </x:c>
      <x:c r="C379" s="7" t="str">
        <x:v>MEDIUM</x:v>
      </x:c>
      <x:c r="D379" s="8" t="str">
        <x:v>Parameter_Tampering 24/196</x:v>
      </x:c>
      <x:c r="E379" s="7" t="str">
        <x:v>Código fuente Java</x:v>
      </x:c>
      <x:c r="F379" s="7" t="str"/>
      <x:c r="G379" s="7" t="str">
        <x:v>CWE-472</x:v>
      </x:c>
      <x:c r="H379" s="7" t="str"/>
      <x:c r="I379" s="7" t="n">
        <x:v>20</x:v>
      </x:c>
      <x:c r="J379" s="9" t="str">
        <x:v>PENDIENTE</x:v>
      </x:c>
      <x:c r="K379" s="10" t="n">
        <x:v>46888</x:v>
      </x:c>
      <x:c r="L379" s="7" t="str">
        <x:v>Avance 2028-05-15</x:v>
      </x:c>
      <x:c r="M379" s="8" t="str">
        <x:v>Validar aplicabilidad antes de remediar.</x:v>
      </x:c>
      <x:c r="N379" s="17"/>
      <x:c r="O379" s="17"/>
    </x:row>
    <x:row r="380" ht="15" hidden="0" customHeight="1">
      <x:c r="A380" s="7" t="str">
        <x:v>SIAJ-0040</x:v>
      </x:c>
      <x:c r="B380" s="7" t="str">
        <x:v>SAST</x:v>
      </x:c>
      <x:c r="C380" s="7" t="str">
        <x:v>MEDIUM</x:v>
      </x:c>
      <x:c r="D380" s="8" t="str">
        <x:v>Parameter_Tampering 25/196</x:v>
      </x:c>
      <x:c r="E380" s="7" t="str">
        <x:v>Código fuente Java</x:v>
      </x:c>
      <x:c r="F380" s="7" t="str"/>
      <x:c r="G380" s="7" t="str">
        <x:v>CWE-472</x:v>
      </x:c>
      <x:c r="H380" s="7" t="str"/>
      <x:c r="I380" s="7" t="n">
        <x:v>20</x:v>
      </x:c>
      <x:c r="J380" s="9" t="str">
        <x:v>PENDIENTE</x:v>
      </x:c>
      <x:c r="K380" s="10" t="n">
        <x:v>46888</x:v>
      </x:c>
      <x:c r="L380" s="7" t="str">
        <x:v>Avance 2028-05-15</x:v>
      </x:c>
      <x:c r="M380" s="8" t="str">
        <x:v>Validar aplicabilidad antes de remediar.</x:v>
      </x:c>
      <x:c r="N380" s="17"/>
      <x:c r="O380" s="17"/>
    </x:row>
    <x:row r="381" ht="15" hidden="0" customHeight="1">
      <x:c r="A381" s="7" t="str">
        <x:v>SIAJ-0041</x:v>
      </x:c>
      <x:c r="B381" s="7" t="str">
        <x:v>SAST</x:v>
      </x:c>
      <x:c r="C381" s="7" t="str">
        <x:v>MEDIUM</x:v>
      </x:c>
      <x:c r="D381" s="8" t="str">
        <x:v>Parameter_Tampering 26/196</x:v>
      </x:c>
      <x:c r="E381" s="7" t="str">
        <x:v>Código fuente Java</x:v>
      </x:c>
      <x:c r="F381" s="7" t="str"/>
      <x:c r="G381" s="7" t="str">
        <x:v>CWE-472</x:v>
      </x:c>
      <x:c r="H381" s="7" t="str"/>
      <x:c r="I381" s="7" t="n">
        <x:v>20</x:v>
      </x:c>
      <x:c r="J381" s="9" t="str">
        <x:v>PENDIENTE</x:v>
      </x:c>
      <x:c r="K381" s="10" t="n">
        <x:v>46888</x:v>
      </x:c>
      <x:c r="L381" s="7" t="str">
        <x:v>Avance 2028-05-15</x:v>
      </x:c>
      <x:c r="M381" s="8" t="str">
        <x:v>Validar aplicabilidad antes de remediar.</x:v>
      </x:c>
      <x:c r="N381" s="17"/>
      <x:c r="O381" s="17"/>
    </x:row>
    <x:row r="382" ht="15" hidden="0" customHeight="1">
      <x:c r="A382" s="7" t="str">
        <x:v>SIAJ-0042</x:v>
      </x:c>
      <x:c r="B382" s="7" t="str">
        <x:v>SAST</x:v>
      </x:c>
      <x:c r="C382" s="7" t="str">
        <x:v>MEDIUM</x:v>
      </x:c>
      <x:c r="D382" s="8" t="str">
        <x:v>Parameter_Tampering 27/196</x:v>
      </x:c>
      <x:c r="E382" s="7" t="str">
        <x:v>Código fuente Java</x:v>
      </x:c>
      <x:c r="F382" s="7" t="str"/>
      <x:c r="G382" s="7" t="str">
        <x:v>CWE-472</x:v>
      </x:c>
      <x:c r="H382" s="7" t="str"/>
      <x:c r="I382" s="7" t="n">
        <x:v>20</x:v>
      </x:c>
      <x:c r="J382" s="9" t="str">
        <x:v>PENDIENTE</x:v>
      </x:c>
      <x:c r="K382" s="10" t="n">
        <x:v>46888</x:v>
      </x:c>
      <x:c r="L382" s="7" t="str">
        <x:v>Avance 2028-05-15</x:v>
      </x:c>
      <x:c r="M382" s="8" t="str">
        <x:v>Validar aplicabilidad antes de remediar.</x:v>
      </x:c>
      <x:c r="N382" s="17"/>
      <x:c r="O382" s="17"/>
    </x:row>
    <x:row r="383" ht="15" hidden="0" customHeight="1">
      <x:c r="A383" s="7" t="str">
        <x:v>SIAJ-0043</x:v>
      </x:c>
      <x:c r="B383" s="7" t="str">
        <x:v>SAST</x:v>
      </x:c>
      <x:c r="C383" s="7" t="str">
        <x:v>MEDIUM</x:v>
      </x:c>
      <x:c r="D383" s="8" t="str">
        <x:v>Parameter_Tampering 28/196</x:v>
      </x:c>
      <x:c r="E383" s="7" t="str">
        <x:v>Código fuente Java</x:v>
      </x:c>
      <x:c r="F383" s="7" t="str"/>
      <x:c r="G383" s="7" t="str">
        <x:v>CWE-472</x:v>
      </x:c>
      <x:c r="H383" s="7" t="str"/>
      <x:c r="I383" s="7" t="n">
        <x:v>20</x:v>
      </x:c>
      <x:c r="J383" s="9" t="str">
        <x:v>PENDIENTE</x:v>
      </x:c>
      <x:c r="K383" s="10" t="n">
        <x:v>46888</x:v>
      </x:c>
      <x:c r="L383" s="7" t="str">
        <x:v>Avance 2028-05-15</x:v>
      </x:c>
      <x:c r="M383" s="8" t="str">
        <x:v>Validar aplicabilidad antes de remediar.</x:v>
      </x:c>
      <x:c r="N383" s="17"/>
      <x:c r="O383" s="17"/>
    </x:row>
    <x:row r="384" ht="15" hidden="0" customHeight="1">
      <x:c r="A384" s="7" t="str">
        <x:v>SIAJ-0044</x:v>
      </x:c>
      <x:c r="B384" s="7" t="str">
        <x:v>SAST</x:v>
      </x:c>
      <x:c r="C384" s="7" t="str">
        <x:v>MEDIUM</x:v>
      </x:c>
      <x:c r="D384" s="8" t="str">
        <x:v>Parameter_Tampering 29/196</x:v>
      </x:c>
      <x:c r="E384" s="7" t="str">
        <x:v>Código fuente Java</x:v>
      </x:c>
      <x:c r="F384" s="7" t="str"/>
      <x:c r="G384" s="7" t="str">
        <x:v>CWE-472</x:v>
      </x:c>
      <x:c r="H384" s="7" t="str"/>
      <x:c r="I384" s="7" t="n">
        <x:v>20</x:v>
      </x:c>
      <x:c r="J384" s="9" t="str">
        <x:v>PENDIENTE</x:v>
      </x:c>
      <x:c r="K384" s="10" t="n">
        <x:v>46888</x:v>
      </x:c>
      <x:c r="L384" s="7" t="str">
        <x:v>Avance 2028-05-15</x:v>
      </x:c>
      <x:c r="M384" s="8" t="str">
        <x:v>Validar aplicabilidad antes de remediar.</x:v>
      </x:c>
      <x:c r="N384" s="17"/>
      <x:c r="O384" s="17"/>
    </x:row>
    <x:row r="385" ht="15" hidden="0" customHeight="1">
      <x:c r="A385" s="7" t="str">
        <x:v>SIAJ-0018</x:v>
      </x:c>
      <x:c r="B385" s="7" t="str">
        <x:v>SAST</x:v>
      </x:c>
      <x:c r="C385" s="7" t="str">
        <x:v>MEDIUM</x:v>
      </x:c>
      <x:c r="D385" s="8" t="str">
        <x:v>Parameter_Tampering 3/196</x:v>
      </x:c>
      <x:c r="E385" s="7" t="str">
        <x:v>Código fuente Java</x:v>
      </x:c>
      <x:c r="F385" s="7" t="str"/>
      <x:c r="G385" s="7" t="str">
        <x:v>CWE-472</x:v>
      </x:c>
      <x:c r="H385" s="7" t="str"/>
      <x:c r="I385" s="7" t="n">
        <x:v>20</x:v>
      </x:c>
      <x:c r="J385" s="9" t="str">
        <x:v>PENDIENTE</x:v>
      </x:c>
      <x:c r="K385" s="10" t="n">
        <x:v>46888</x:v>
      </x:c>
      <x:c r="L385" s="7" t="str">
        <x:v>Avance 2028-05-15</x:v>
      </x:c>
      <x:c r="M385" s="8" t="str">
        <x:v>Validar aplicabilidad antes de remediar.</x:v>
      </x:c>
      <x:c r="N385" s="17"/>
      <x:c r="O385" s="17"/>
    </x:row>
    <x:row r="386" ht="15" hidden="0" customHeight="1">
      <x:c r="A386" s="7" t="str">
        <x:v>SIAJ-0045</x:v>
      </x:c>
      <x:c r="B386" s="7" t="str">
        <x:v>SAST</x:v>
      </x:c>
      <x:c r="C386" s="7" t="str">
        <x:v>MEDIUM</x:v>
      </x:c>
      <x:c r="D386" s="8" t="str">
        <x:v>Parameter_Tampering 30/196</x:v>
      </x:c>
      <x:c r="E386" s="7" t="str">
        <x:v>Código fuente Java</x:v>
      </x:c>
      <x:c r="F386" s="7" t="str"/>
      <x:c r="G386" s="7" t="str">
        <x:v>CWE-472</x:v>
      </x:c>
      <x:c r="H386" s="7" t="str"/>
      <x:c r="I386" s="7" t="n">
        <x:v>20</x:v>
      </x:c>
      <x:c r="J386" s="9" t="str">
        <x:v>PENDIENTE</x:v>
      </x:c>
      <x:c r="K386" s="10" t="n">
        <x:v>46888</x:v>
      </x:c>
      <x:c r="L386" s="7" t="str">
        <x:v>Avance 2028-05-15</x:v>
      </x:c>
      <x:c r="M386" s="8" t="str">
        <x:v>Validar aplicabilidad antes de remediar.</x:v>
      </x:c>
      <x:c r="N386" s="17"/>
      <x:c r="O386" s="17"/>
    </x:row>
    <x:row r="387" ht="15" hidden="0" customHeight="1">
      <x:c r="A387" s="7" t="str">
        <x:v>SIAJ-0046</x:v>
      </x:c>
      <x:c r="B387" s="7" t="str">
        <x:v>SAST</x:v>
      </x:c>
      <x:c r="C387" s="7" t="str">
        <x:v>MEDIUM</x:v>
      </x:c>
      <x:c r="D387" s="8" t="str">
        <x:v>Parameter_Tampering 31/196</x:v>
      </x:c>
      <x:c r="E387" s="7" t="str">
        <x:v>Código fuente Java</x:v>
      </x:c>
      <x:c r="F387" s="7" t="str"/>
      <x:c r="G387" s="7" t="str">
        <x:v>CWE-472</x:v>
      </x:c>
      <x:c r="H387" s="7" t="str"/>
      <x:c r="I387" s="7" t="n">
        <x:v>20</x:v>
      </x:c>
      <x:c r="J387" s="9" t="str">
        <x:v>PENDIENTE</x:v>
      </x:c>
      <x:c r="K387" s="10" t="n">
        <x:v>46888</x:v>
      </x:c>
      <x:c r="L387" s="7" t="str">
        <x:v>Avance 2028-05-15</x:v>
      </x:c>
      <x:c r="M387" s="8" t="str">
        <x:v>Validar aplicabilidad antes de remediar.</x:v>
      </x:c>
      <x:c r="N387" s="17"/>
      <x:c r="O387" s="17"/>
    </x:row>
    <x:row r="388" ht="15" hidden="0" customHeight="1">
      <x:c r="A388" s="7" t="str">
        <x:v>SIAJ-0047</x:v>
      </x:c>
      <x:c r="B388" s="7" t="str">
        <x:v>SAST</x:v>
      </x:c>
      <x:c r="C388" s="7" t="str">
        <x:v>MEDIUM</x:v>
      </x:c>
      <x:c r="D388" s="8" t="str">
        <x:v>Parameter_Tampering 32/196</x:v>
      </x:c>
      <x:c r="E388" s="7" t="str">
        <x:v>Código fuente Java</x:v>
      </x:c>
      <x:c r="F388" s="7" t="str"/>
      <x:c r="G388" s="7" t="str">
        <x:v>CWE-472</x:v>
      </x:c>
      <x:c r="H388" s="7" t="str"/>
      <x:c r="I388" s="7" t="n">
        <x:v>20</x:v>
      </x:c>
      <x:c r="J388" s="9" t="str">
        <x:v>PENDIENTE</x:v>
      </x:c>
      <x:c r="K388" s="10" t="n">
        <x:v>46888</x:v>
      </x:c>
      <x:c r="L388" s="7" t="str">
        <x:v>Avance 2028-05-15</x:v>
      </x:c>
      <x:c r="M388" s="8" t="str">
        <x:v>Validar aplicabilidad antes de remediar.</x:v>
      </x:c>
      <x:c r="N388" s="17"/>
      <x:c r="O388" s="17"/>
    </x:row>
    <x:row r="389" ht="15" hidden="0" customHeight="1">
      <x:c r="A389" s="7" t="str">
        <x:v>SIAJ-0048</x:v>
      </x:c>
      <x:c r="B389" s="7" t="str">
        <x:v>SAST</x:v>
      </x:c>
      <x:c r="C389" s="7" t="str">
        <x:v>MEDIUM</x:v>
      </x:c>
      <x:c r="D389" s="8" t="str">
        <x:v>Parameter_Tampering 33/196</x:v>
      </x:c>
      <x:c r="E389" s="7" t="str">
        <x:v>Código fuente Java</x:v>
      </x:c>
      <x:c r="F389" s="7" t="str"/>
      <x:c r="G389" s="7" t="str">
        <x:v>CWE-472</x:v>
      </x:c>
      <x:c r="H389" s="7" t="str"/>
      <x:c r="I389" s="7" t="n">
        <x:v>20</x:v>
      </x:c>
      <x:c r="J389" s="9" t="str">
        <x:v>PENDIENTE</x:v>
      </x:c>
      <x:c r="K389" s="10" t="n">
        <x:v>46888</x:v>
      </x:c>
      <x:c r="L389" s="7" t="str">
        <x:v>Avance 2028-05-15</x:v>
      </x:c>
      <x:c r="M389" s="8" t="str">
        <x:v>Validar aplicabilidad antes de remediar.</x:v>
      </x:c>
      <x:c r="N389" s="17"/>
      <x:c r="O389" s="17"/>
    </x:row>
    <x:row r="390" ht="15" hidden="0" customHeight="1">
      <x:c r="A390" s="7" t="str">
        <x:v>SIAJ-0049</x:v>
      </x:c>
      <x:c r="B390" s="7" t="str">
        <x:v>SAST</x:v>
      </x:c>
      <x:c r="C390" s="7" t="str">
        <x:v>MEDIUM</x:v>
      </x:c>
      <x:c r="D390" s="8" t="str">
        <x:v>Parameter_Tampering 34/196</x:v>
      </x:c>
      <x:c r="E390" s="7" t="str">
        <x:v>Código fuente Java</x:v>
      </x:c>
      <x:c r="F390" s="7" t="str"/>
      <x:c r="G390" s="7" t="str">
        <x:v>CWE-472</x:v>
      </x:c>
      <x:c r="H390" s="7" t="str"/>
      <x:c r="I390" s="7" t="n">
        <x:v>20</x:v>
      </x:c>
      <x:c r="J390" s="9" t="str">
        <x:v>PENDIENTE</x:v>
      </x:c>
      <x:c r="K390" s="10" t="n">
        <x:v>46888</x:v>
      </x:c>
      <x:c r="L390" s="7" t="str">
        <x:v>Avance 2028-05-15</x:v>
      </x:c>
      <x:c r="M390" s="8" t="str">
        <x:v>Validar aplicabilidad antes de remediar.</x:v>
      </x:c>
      <x:c r="N390" s="17"/>
      <x:c r="O390" s="17"/>
    </x:row>
    <x:row r="391" ht="15" hidden="0" customHeight="1">
      <x:c r="A391" s="7" t="str">
        <x:v>SIAJ-0050</x:v>
      </x:c>
      <x:c r="B391" s="7" t="str">
        <x:v>SAST</x:v>
      </x:c>
      <x:c r="C391" s="7" t="str">
        <x:v>MEDIUM</x:v>
      </x:c>
      <x:c r="D391" s="8" t="str">
        <x:v>Parameter_Tampering 35/196</x:v>
      </x:c>
      <x:c r="E391" s="7" t="str">
        <x:v>Código fuente Java</x:v>
      </x:c>
      <x:c r="F391" s="7" t="str"/>
      <x:c r="G391" s="7" t="str">
        <x:v>CWE-472</x:v>
      </x:c>
      <x:c r="H391" s="7" t="str"/>
      <x:c r="I391" s="7" t="n">
        <x:v>20</x:v>
      </x:c>
      <x:c r="J391" s="9" t="str">
        <x:v>PENDIENTE</x:v>
      </x:c>
      <x:c r="K391" s="10" t="n">
        <x:v>46888</x:v>
      </x:c>
      <x:c r="L391" s="7" t="str">
        <x:v>Avance 2028-05-15</x:v>
      </x:c>
      <x:c r="M391" s="8" t="str">
        <x:v>Validar aplicabilidad antes de remediar.</x:v>
      </x:c>
      <x:c r="N391" s="17"/>
      <x:c r="O391" s="17"/>
    </x:row>
    <x:row r="392" ht="15" hidden="0" customHeight="1">
      <x:c r="A392" s="7" t="str">
        <x:v>SIAJ-0051</x:v>
      </x:c>
      <x:c r="B392" s="7" t="str">
        <x:v>SAST</x:v>
      </x:c>
      <x:c r="C392" s="7" t="str">
        <x:v>MEDIUM</x:v>
      </x:c>
      <x:c r="D392" s="8" t="str">
        <x:v>Parameter_Tampering 36/196</x:v>
      </x:c>
      <x:c r="E392" s="7" t="str">
        <x:v>Código fuente Java</x:v>
      </x:c>
      <x:c r="F392" s="7" t="str"/>
      <x:c r="G392" s="7" t="str">
        <x:v>CWE-472</x:v>
      </x:c>
      <x:c r="H392" s="7" t="str"/>
      <x:c r="I392" s="7" t="n">
        <x:v>20</x:v>
      </x:c>
      <x:c r="J392" s="9" t="str">
        <x:v>PENDIENTE</x:v>
      </x:c>
      <x:c r="K392" s="10" t="n">
        <x:v>46919</x:v>
      </x:c>
      <x:c r="L392" s="7" t="str">
        <x:v>Avance 2028-06-15</x:v>
      </x:c>
      <x:c r="M392" s="8" t="str">
        <x:v>Validar aplicabilidad antes de remediar.</x:v>
      </x:c>
      <x:c r="N392" s="17"/>
      <x:c r="O392" s="17"/>
    </x:row>
    <x:row r="393" ht="15" hidden="0" customHeight="1">
      <x:c r="A393" s="7" t="str">
        <x:v>SIAJ-0052</x:v>
      </x:c>
      <x:c r="B393" s="7" t="str">
        <x:v>SAST</x:v>
      </x:c>
      <x:c r="C393" s="7" t="str">
        <x:v>MEDIUM</x:v>
      </x:c>
      <x:c r="D393" s="8" t="str">
        <x:v>Parameter_Tampering 37/196</x:v>
      </x:c>
      <x:c r="E393" s="7" t="str">
        <x:v>Código fuente Java</x:v>
      </x:c>
      <x:c r="F393" s="7" t="str"/>
      <x:c r="G393" s="7" t="str">
        <x:v>CWE-472</x:v>
      </x:c>
      <x:c r="H393" s="7" t="str"/>
      <x:c r="I393" s="7" t="n">
        <x:v>20</x:v>
      </x:c>
      <x:c r="J393" s="9" t="str">
        <x:v>PENDIENTE</x:v>
      </x:c>
      <x:c r="K393" s="10" t="n">
        <x:v>46919</x:v>
      </x:c>
      <x:c r="L393" s="7" t="str">
        <x:v>Avance 2028-06-15</x:v>
      </x:c>
      <x:c r="M393" s="8" t="str">
        <x:v>Validar aplicabilidad antes de remediar.</x:v>
      </x:c>
      <x:c r="N393" s="17"/>
      <x:c r="O393" s="17"/>
    </x:row>
    <x:row r="394" ht="15" hidden="0" customHeight="1">
      <x:c r="A394" s="7" t="str">
        <x:v>SIAJ-0053</x:v>
      </x:c>
      <x:c r="B394" s="7" t="str">
        <x:v>SAST</x:v>
      </x:c>
      <x:c r="C394" s="7" t="str">
        <x:v>MEDIUM</x:v>
      </x:c>
      <x:c r="D394" s="8" t="str">
        <x:v>Parameter_Tampering 38/196</x:v>
      </x:c>
      <x:c r="E394" s="7" t="str">
        <x:v>Código fuente Java</x:v>
      </x:c>
      <x:c r="F394" s="7" t="str"/>
      <x:c r="G394" s="7" t="str">
        <x:v>CWE-472</x:v>
      </x:c>
      <x:c r="H394" s="7" t="str"/>
      <x:c r="I394" s="7" t="n">
        <x:v>20</x:v>
      </x:c>
      <x:c r="J394" s="9" t="str">
        <x:v>PENDIENTE</x:v>
      </x:c>
      <x:c r="K394" s="10" t="n">
        <x:v>46919</x:v>
      </x:c>
      <x:c r="L394" s="7" t="str">
        <x:v>Avance 2028-06-15</x:v>
      </x:c>
      <x:c r="M394" s="8" t="str">
        <x:v>Validar aplicabilidad antes de remediar.</x:v>
      </x:c>
      <x:c r="N394" s="17"/>
      <x:c r="O394" s="17"/>
    </x:row>
    <x:row r="395" ht="15" hidden="0" customHeight="1">
      <x:c r="A395" s="7" t="str">
        <x:v>SIAJ-0054</x:v>
      </x:c>
      <x:c r="B395" s="7" t="str">
        <x:v>SAST</x:v>
      </x:c>
      <x:c r="C395" s="7" t="str">
        <x:v>MEDIUM</x:v>
      </x:c>
      <x:c r="D395" s="8" t="str">
        <x:v>Parameter_Tampering 39/196</x:v>
      </x:c>
      <x:c r="E395" s="7" t="str">
        <x:v>Código fuente Java</x:v>
      </x:c>
      <x:c r="F395" s="7" t="str"/>
      <x:c r="G395" s="7" t="str">
        <x:v>CWE-472</x:v>
      </x:c>
      <x:c r="H395" s="7" t="str"/>
      <x:c r="I395" s="7" t="n">
        <x:v>20</x:v>
      </x:c>
      <x:c r="J395" s="9" t="str">
        <x:v>PENDIENTE</x:v>
      </x:c>
      <x:c r="K395" s="10" t="n">
        <x:v>46919</x:v>
      </x:c>
      <x:c r="L395" s="7" t="str">
        <x:v>Avance 2028-06-15</x:v>
      </x:c>
      <x:c r="M395" s="8" t="str">
        <x:v>Validar aplicabilidad antes de remediar.</x:v>
      </x:c>
      <x:c r="N395" s="17"/>
      <x:c r="O395" s="17"/>
    </x:row>
    <x:row r="396" ht="15" hidden="0" customHeight="1">
      <x:c r="A396" s="7" t="str">
        <x:v>SIAJ-0019</x:v>
      </x:c>
      <x:c r="B396" s="7" t="str">
        <x:v>SAST</x:v>
      </x:c>
      <x:c r="C396" s="7" t="str">
        <x:v>MEDIUM</x:v>
      </x:c>
      <x:c r="D396" s="8" t="str">
        <x:v>Parameter_Tampering 4/196</x:v>
      </x:c>
      <x:c r="E396" s="7" t="str">
        <x:v>Código fuente Java</x:v>
      </x:c>
      <x:c r="F396" s="7" t="str"/>
      <x:c r="G396" s="7" t="str">
        <x:v>CWE-472</x:v>
      </x:c>
      <x:c r="H396" s="7" t="str"/>
      <x:c r="I396" s="7" t="n">
        <x:v>20</x:v>
      </x:c>
      <x:c r="J396" s="9" t="str">
        <x:v>PENDIENTE</x:v>
      </x:c>
      <x:c r="K396" s="10" t="n">
        <x:v>46919</x:v>
      </x:c>
      <x:c r="L396" s="7" t="str">
        <x:v>Avance 2028-06-15</x:v>
      </x:c>
      <x:c r="M396" s="8" t="str">
        <x:v>Validar aplicabilidad antes de remediar.</x:v>
      </x:c>
      <x:c r="N396" s="17"/>
      <x:c r="O396" s="17"/>
    </x:row>
    <x:row r="397" ht="15" hidden="0" customHeight="1">
      <x:c r="A397" s="7" t="str">
        <x:v>SIAJ-0055</x:v>
      </x:c>
      <x:c r="B397" s="7" t="str">
        <x:v>SAST</x:v>
      </x:c>
      <x:c r="C397" s="7" t="str">
        <x:v>MEDIUM</x:v>
      </x:c>
      <x:c r="D397" s="8" t="str">
        <x:v>Parameter_Tampering 40/196</x:v>
      </x:c>
      <x:c r="E397" s="7" t="str">
        <x:v>Código fuente Java</x:v>
      </x:c>
      <x:c r="F397" s="7" t="str"/>
      <x:c r="G397" s="7" t="str">
        <x:v>CWE-472</x:v>
      </x:c>
      <x:c r="H397" s="7" t="str"/>
      <x:c r="I397" s="7" t="n">
        <x:v>20</x:v>
      </x:c>
      <x:c r="J397" s="9" t="str">
        <x:v>PENDIENTE</x:v>
      </x:c>
      <x:c r="K397" s="10" t="n">
        <x:v>46919</x:v>
      </x:c>
      <x:c r="L397" s="7" t="str">
        <x:v>Avance 2028-06-15</x:v>
      </x:c>
      <x:c r="M397" s="8" t="str">
        <x:v>Validar aplicabilidad antes de remediar.</x:v>
      </x:c>
      <x:c r="N397" s="17"/>
      <x:c r="O397" s="17"/>
    </x:row>
    <x:row r="398" ht="15" hidden="0" customHeight="1">
      <x:c r="A398" s="7" t="str">
        <x:v>SIAJ-0056</x:v>
      </x:c>
      <x:c r="B398" s="7" t="str">
        <x:v>SAST</x:v>
      </x:c>
      <x:c r="C398" s="7" t="str">
        <x:v>MEDIUM</x:v>
      </x:c>
      <x:c r="D398" s="8" t="str">
        <x:v>Parameter_Tampering 41/196</x:v>
      </x:c>
      <x:c r="E398" s="7" t="str">
        <x:v>Código fuente Java</x:v>
      </x:c>
      <x:c r="F398" s="7" t="str"/>
      <x:c r="G398" s="7" t="str">
        <x:v>CWE-472</x:v>
      </x:c>
      <x:c r="H398" s="7" t="str"/>
      <x:c r="I398" s="7" t="n">
        <x:v>20</x:v>
      </x:c>
      <x:c r="J398" s="9" t="str">
        <x:v>PENDIENTE</x:v>
      </x:c>
      <x:c r="K398" s="10" t="n">
        <x:v>46919</x:v>
      </x:c>
      <x:c r="L398" s="7" t="str">
        <x:v>Avance 2028-06-15</x:v>
      </x:c>
      <x:c r="M398" s="8" t="str">
        <x:v>Validar aplicabilidad antes de remediar.</x:v>
      </x:c>
      <x:c r="N398" s="17"/>
      <x:c r="O398" s="17"/>
    </x:row>
    <x:row r="399" ht="15" hidden="0" customHeight="1">
      <x:c r="A399" s="7" t="str">
        <x:v>SIAJ-0057</x:v>
      </x:c>
      <x:c r="B399" s="7" t="str">
        <x:v>SAST</x:v>
      </x:c>
      <x:c r="C399" s="7" t="str">
        <x:v>MEDIUM</x:v>
      </x:c>
      <x:c r="D399" s="8" t="str">
        <x:v>Parameter_Tampering 42/196</x:v>
      </x:c>
      <x:c r="E399" s="7" t="str">
        <x:v>Código fuente Java</x:v>
      </x:c>
      <x:c r="F399" s="7" t="str"/>
      <x:c r="G399" s="7" t="str">
        <x:v>CWE-472</x:v>
      </x:c>
      <x:c r="H399" s="7" t="str"/>
      <x:c r="I399" s="7" t="n">
        <x:v>20</x:v>
      </x:c>
      <x:c r="J399" s="9" t="str">
        <x:v>PENDIENTE</x:v>
      </x:c>
      <x:c r="K399" s="10" t="n">
        <x:v>46919</x:v>
      </x:c>
      <x:c r="L399" s="7" t="str">
        <x:v>Avance 2028-06-15</x:v>
      </x:c>
      <x:c r="M399" s="8" t="str">
        <x:v>Validar aplicabilidad antes de remediar.</x:v>
      </x:c>
      <x:c r="N399" s="17"/>
      <x:c r="O399" s="17"/>
    </x:row>
    <x:row r="400" ht="15" hidden="0" customHeight="1">
      <x:c r="A400" s="7" t="str">
        <x:v>SIAJ-0058</x:v>
      </x:c>
      <x:c r="B400" s="7" t="str">
        <x:v>SAST</x:v>
      </x:c>
      <x:c r="C400" s="7" t="str">
        <x:v>MEDIUM</x:v>
      </x:c>
      <x:c r="D400" s="8" t="str">
        <x:v>Parameter_Tampering 43/196</x:v>
      </x:c>
      <x:c r="E400" s="7" t="str">
        <x:v>Código fuente Java</x:v>
      </x:c>
      <x:c r="F400" s="7" t="str"/>
      <x:c r="G400" s="7" t="str">
        <x:v>CWE-472</x:v>
      </x:c>
      <x:c r="H400" s="7" t="str"/>
      <x:c r="I400" s="7" t="n">
        <x:v>20</x:v>
      </x:c>
      <x:c r="J400" s="9" t="str">
        <x:v>PENDIENTE</x:v>
      </x:c>
      <x:c r="K400" s="10" t="n">
        <x:v>46919</x:v>
      </x:c>
      <x:c r="L400" s="7" t="str">
        <x:v>Avance 2028-06-15</x:v>
      </x:c>
      <x:c r="M400" s="8" t="str">
        <x:v>Validar aplicabilidad antes de remediar.</x:v>
      </x:c>
      <x:c r="N400" s="17"/>
      <x:c r="O400" s="17"/>
    </x:row>
    <x:row r="401" ht="15" hidden="0" customHeight="1">
      <x:c r="A401" s="7" t="str">
        <x:v>SIAJ-0059</x:v>
      </x:c>
      <x:c r="B401" s="7" t="str">
        <x:v>SAST</x:v>
      </x:c>
      <x:c r="C401" s="7" t="str">
        <x:v>MEDIUM</x:v>
      </x:c>
      <x:c r="D401" s="8" t="str">
        <x:v>Parameter_Tampering 44/196</x:v>
      </x:c>
      <x:c r="E401" s="7" t="str">
        <x:v>Código fuente Java</x:v>
      </x:c>
      <x:c r="F401" s="7" t="str"/>
      <x:c r="G401" s="7" t="str">
        <x:v>CWE-472</x:v>
      </x:c>
      <x:c r="H401" s="7" t="str"/>
      <x:c r="I401" s="7" t="n">
        <x:v>20</x:v>
      </x:c>
      <x:c r="J401" s="9" t="str">
        <x:v>PENDIENTE</x:v>
      </x:c>
      <x:c r="K401" s="10" t="n">
        <x:v>46919</x:v>
      </x:c>
      <x:c r="L401" s="7" t="str">
        <x:v>Avance 2028-06-15</x:v>
      </x:c>
      <x:c r="M401" s="8" t="str">
        <x:v>Validar aplicabilidad antes de remediar.</x:v>
      </x:c>
      <x:c r="N401" s="17"/>
      <x:c r="O401" s="17"/>
    </x:row>
    <x:row r="402" ht="15" hidden="0" customHeight="1">
      <x:c r="A402" s="7" t="str">
        <x:v>SIAJ-0060</x:v>
      </x:c>
      <x:c r="B402" s="7" t="str">
        <x:v>SAST</x:v>
      </x:c>
      <x:c r="C402" s="7" t="str">
        <x:v>MEDIUM</x:v>
      </x:c>
      <x:c r="D402" s="8" t="str">
        <x:v>Parameter_Tampering 45/196</x:v>
      </x:c>
      <x:c r="E402" s="7" t="str">
        <x:v>Código fuente Java</x:v>
      </x:c>
      <x:c r="F402" s="7" t="str"/>
      <x:c r="G402" s="7" t="str">
        <x:v>CWE-472</x:v>
      </x:c>
      <x:c r="H402" s="7" t="str"/>
      <x:c r="I402" s="7" t="n">
        <x:v>20</x:v>
      </x:c>
      <x:c r="J402" s="9" t="str">
        <x:v>PENDIENTE</x:v>
      </x:c>
      <x:c r="K402" s="10" t="n">
        <x:v>46919</x:v>
      </x:c>
      <x:c r="L402" s="7" t="str">
        <x:v>Avance 2028-06-15</x:v>
      </x:c>
      <x:c r="M402" s="8" t="str">
        <x:v>Validar aplicabilidad antes de remediar.</x:v>
      </x:c>
      <x:c r="N402" s="17"/>
      <x:c r="O402" s="17"/>
    </x:row>
    <x:row r="403" ht="15" hidden="0" customHeight="1">
      <x:c r="A403" s="7" t="str">
        <x:v>SIAJ-0061</x:v>
      </x:c>
      <x:c r="B403" s="7" t="str">
        <x:v>SAST</x:v>
      </x:c>
      <x:c r="C403" s="7" t="str">
        <x:v>MEDIUM</x:v>
      </x:c>
      <x:c r="D403" s="8" t="str">
        <x:v>Parameter_Tampering 46/196</x:v>
      </x:c>
      <x:c r="E403" s="7" t="str">
        <x:v>Código fuente Java</x:v>
      </x:c>
      <x:c r="F403" s="7" t="str"/>
      <x:c r="G403" s="7" t="str">
        <x:v>CWE-472</x:v>
      </x:c>
      <x:c r="H403" s="7" t="str"/>
      <x:c r="I403" s="7" t="n">
        <x:v>20</x:v>
      </x:c>
      <x:c r="J403" s="9" t="str">
        <x:v>PENDIENTE</x:v>
      </x:c>
      <x:c r="K403" s="10" t="n">
        <x:v>46919</x:v>
      </x:c>
      <x:c r="L403" s="7" t="str">
        <x:v>Avance 2028-06-15</x:v>
      </x:c>
      <x:c r="M403" s="8" t="str">
        <x:v>Validar aplicabilidad antes de remediar.</x:v>
      </x:c>
      <x:c r="N403" s="17"/>
      <x:c r="O403" s="17"/>
    </x:row>
    <x:row r="404" ht="15" hidden="0" customHeight="1">
      <x:c r="A404" s="7" t="str">
        <x:v>SIAJ-0062</x:v>
      </x:c>
      <x:c r="B404" s="7" t="str">
        <x:v>SAST</x:v>
      </x:c>
      <x:c r="C404" s="7" t="str">
        <x:v>MEDIUM</x:v>
      </x:c>
      <x:c r="D404" s="8" t="str">
        <x:v>Parameter_Tampering 47/196</x:v>
      </x:c>
      <x:c r="E404" s="7" t="str">
        <x:v>Código fuente Java</x:v>
      </x:c>
      <x:c r="F404" s="7" t="str"/>
      <x:c r="G404" s="7" t="str">
        <x:v>CWE-472</x:v>
      </x:c>
      <x:c r="H404" s="7" t="str"/>
      <x:c r="I404" s="7" t="n">
        <x:v>20</x:v>
      </x:c>
      <x:c r="J404" s="9" t="str">
        <x:v>PENDIENTE</x:v>
      </x:c>
      <x:c r="K404" s="10" t="n">
        <x:v>46919</x:v>
      </x:c>
      <x:c r="L404" s="7" t="str">
        <x:v>Avance 2028-06-15</x:v>
      </x:c>
      <x:c r="M404" s="8" t="str">
        <x:v>Validar aplicabilidad antes de remediar.</x:v>
      </x:c>
      <x:c r="N404" s="17"/>
      <x:c r="O404" s="17"/>
    </x:row>
    <x:row r="405" ht="15" hidden="0" customHeight="1">
      <x:c r="A405" s="7" t="str">
        <x:v>SIAJ-0063</x:v>
      </x:c>
      <x:c r="B405" s="7" t="str">
        <x:v>SAST</x:v>
      </x:c>
      <x:c r="C405" s="7" t="str">
        <x:v>MEDIUM</x:v>
      </x:c>
      <x:c r="D405" s="8" t="str">
        <x:v>Parameter_Tampering 48/196</x:v>
      </x:c>
      <x:c r="E405" s="7" t="str">
        <x:v>Código fuente Java</x:v>
      </x:c>
      <x:c r="F405" s="7" t="str"/>
      <x:c r="G405" s="7" t="str">
        <x:v>CWE-472</x:v>
      </x:c>
      <x:c r="H405" s="7" t="str"/>
      <x:c r="I405" s="7" t="n">
        <x:v>20</x:v>
      </x:c>
      <x:c r="J405" s="9" t="str">
        <x:v>PENDIENTE</x:v>
      </x:c>
      <x:c r="K405" s="10" t="n">
        <x:v>46919</x:v>
      </x:c>
      <x:c r="L405" s="7" t="str">
        <x:v>Avance 2028-06-15</x:v>
      </x:c>
      <x:c r="M405" s="8" t="str">
        <x:v>Validar aplicabilidad antes de remediar.</x:v>
      </x:c>
      <x:c r="N405" s="17"/>
      <x:c r="O405" s="17"/>
    </x:row>
    <x:row r="406" ht="15" hidden="0" customHeight="1">
      <x:c r="A406" s="7" t="str">
        <x:v>SIAJ-0064</x:v>
      </x:c>
      <x:c r="B406" s="7" t="str">
        <x:v>SAST</x:v>
      </x:c>
      <x:c r="C406" s="7" t="str">
        <x:v>MEDIUM</x:v>
      </x:c>
      <x:c r="D406" s="8" t="str">
        <x:v>Parameter_Tampering 49/196</x:v>
      </x:c>
      <x:c r="E406" s="7" t="str">
        <x:v>Código fuente Java</x:v>
      </x:c>
      <x:c r="F406" s="7" t="str"/>
      <x:c r="G406" s="7" t="str">
        <x:v>CWE-472</x:v>
      </x:c>
      <x:c r="H406" s="7" t="str"/>
      <x:c r="I406" s="7" t="n">
        <x:v>20</x:v>
      </x:c>
      <x:c r="J406" s="9" t="str">
        <x:v>PENDIENTE</x:v>
      </x:c>
      <x:c r="K406" s="10" t="n">
        <x:v>46919</x:v>
      </x:c>
      <x:c r="L406" s="7" t="str">
        <x:v>Avance 2028-06-15</x:v>
      </x:c>
      <x:c r="M406" s="8" t="str">
        <x:v>Validar aplicabilidad antes de remediar.</x:v>
      </x:c>
      <x:c r="N406" s="17"/>
      <x:c r="O406" s="17"/>
    </x:row>
    <x:row r="407" ht="15" hidden="0" customHeight="1">
      <x:c r="A407" s="7" t="str">
        <x:v>SIAJ-0020</x:v>
      </x:c>
      <x:c r="B407" s="7" t="str">
        <x:v>SAST</x:v>
      </x:c>
      <x:c r="C407" s="7" t="str">
        <x:v>MEDIUM</x:v>
      </x:c>
      <x:c r="D407" s="8" t="str">
        <x:v>Parameter_Tampering 5/196</x:v>
      </x:c>
      <x:c r="E407" s="7" t="str">
        <x:v>Código fuente Java</x:v>
      </x:c>
      <x:c r="F407" s="7" t="str"/>
      <x:c r="G407" s="7" t="str">
        <x:v>CWE-472</x:v>
      </x:c>
      <x:c r="H407" s="7" t="str"/>
      <x:c r="I407" s="7" t="n">
        <x:v>20</x:v>
      </x:c>
      <x:c r="J407" s="9" t="str">
        <x:v>PENDIENTE</x:v>
      </x:c>
      <x:c r="K407" s="10" t="n">
        <x:v>46919</x:v>
      </x:c>
      <x:c r="L407" s="7" t="str">
        <x:v>Avance 2028-06-15</x:v>
      </x:c>
      <x:c r="M407" s="8" t="str">
        <x:v>Validar aplicabilidad antes de remediar.</x:v>
      </x:c>
      <x:c r="N407" s="17"/>
      <x:c r="O407" s="17"/>
    </x:row>
    <x:row r="408" ht="15" hidden="0" customHeight="1">
      <x:c r="A408" s="7" t="str">
        <x:v>SIAJ-0065</x:v>
      </x:c>
      <x:c r="B408" s="7" t="str">
        <x:v>SAST</x:v>
      </x:c>
      <x:c r="C408" s="7" t="str">
        <x:v>MEDIUM</x:v>
      </x:c>
      <x:c r="D408" s="8" t="str">
        <x:v>Parameter_Tampering 50/196</x:v>
      </x:c>
      <x:c r="E408" s="7" t="str">
        <x:v>Código fuente Java</x:v>
      </x:c>
      <x:c r="F408" s="7" t="str"/>
      <x:c r="G408" s="7" t="str">
        <x:v>CWE-472</x:v>
      </x:c>
      <x:c r="H408" s="7" t="str"/>
      <x:c r="I408" s="7" t="n">
        <x:v>20</x:v>
      </x:c>
      <x:c r="J408" s="9" t="str">
        <x:v>PENDIENTE</x:v>
      </x:c>
      <x:c r="K408" s="10" t="n">
        <x:v>46919</x:v>
      </x:c>
      <x:c r="L408" s="7" t="str">
        <x:v>Avance 2028-06-15</x:v>
      </x:c>
      <x:c r="M408" s="8" t="str">
        <x:v>Validar aplicabilidad antes de remediar.</x:v>
      </x:c>
      <x:c r="N408" s="17"/>
      <x:c r="O408" s="17"/>
    </x:row>
    <x:row r="409" ht="15" hidden="0" customHeight="1">
      <x:c r="A409" s="7" t="str">
        <x:v>SIAJ-0066</x:v>
      </x:c>
      <x:c r="B409" s="7" t="str">
        <x:v>SAST</x:v>
      </x:c>
      <x:c r="C409" s="7" t="str">
        <x:v>MEDIUM</x:v>
      </x:c>
      <x:c r="D409" s="8" t="str">
        <x:v>Parameter_Tampering 51/196</x:v>
      </x:c>
      <x:c r="E409" s="7" t="str">
        <x:v>Código fuente Java</x:v>
      </x:c>
      <x:c r="F409" s="7" t="str"/>
      <x:c r="G409" s="7" t="str">
        <x:v>CWE-472</x:v>
      </x:c>
      <x:c r="H409" s="7" t="str"/>
      <x:c r="I409" s="7" t="n">
        <x:v>20</x:v>
      </x:c>
      <x:c r="J409" s="9" t="str">
        <x:v>PENDIENTE</x:v>
      </x:c>
      <x:c r="K409" s="10" t="n">
        <x:v>46919</x:v>
      </x:c>
      <x:c r="L409" s="7" t="str">
        <x:v>Avance 2028-06-15</x:v>
      </x:c>
      <x:c r="M409" s="8" t="str">
        <x:v>Validar aplicabilidad antes de remediar.</x:v>
      </x:c>
      <x:c r="N409" s="17"/>
      <x:c r="O409" s="17"/>
    </x:row>
    <x:row r="410" ht="15" hidden="0" customHeight="1">
      <x:c r="A410" s="7" t="str">
        <x:v>SIAJ-0067</x:v>
      </x:c>
      <x:c r="B410" s="7" t="str">
        <x:v>SAST</x:v>
      </x:c>
      <x:c r="C410" s="7" t="str">
        <x:v>MEDIUM</x:v>
      </x:c>
      <x:c r="D410" s="8" t="str">
        <x:v>Parameter_Tampering 52/196</x:v>
      </x:c>
      <x:c r="E410" s="7" t="str">
        <x:v>Código fuente Java</x:v>
      </x:c>
      <x:c r="F410" s="7" t="str"/>
      <x:c r="G410" s="7" t="str">
        <x:v>CWE-472</x:v>
      </x:c>
      <x:c r="H410" s="7" t="str"/>
      <x:c r="I410" s="7" t="n">
        <x:v>20</x:v>
      </x:c>
      <x:c r="J410" s="9" t="str">
        <x:v>PENDIENTE</x:v>
      </x:c>
      <x:c r="K410" s="10" t="n">
        <x:v>46949</x:v>
      </x:c>
      <x:c r="L410" s="7" t="str">
        <x:v>Avance 2028-07-15</x:v>
      </x:c>
      <x:c r="M410" s="8" t="str">
        <x:v>Validar aplicabilidad antes de remediar.</x:v>
      </x:c>
      <x:c r="N410" s="17"/>
      <x:c r="O410" s="17"/>
    </x:row>
    <x:row r="411" ht="15" hidden="0" customHeight="1">
      <x:c r="A411" s="7" t="str">
        <x:v>SIAJ-0068</x:v>
      </x:c>
      <x:c r="B411" s="7" t="str">
        <x:v>SAST</x:v>
      </x:c>
      <x:c r="C411" s="7" t="str">
        <x:v>MEDIUM</x:v>
      </x:c>
      <x:c r="D411" s="8" t="str">
        <x:v>Parameter_Tampering 53/196</x:v>
      </x:c>
      <x:c r="E411" s="7" t="str">
        <x:v>Código fuente Java</x:v>
      </x:c>
      <x:c r="F411" s="7" t="str"/>
      <x:c r="G411" s="7" t="str">
        <x:v>CWE-472</x:v>
      </x:c>
      <x:c r="H411" s="7" t="str"/>
      <x:c r="I411" s="7" t="n">
        <x:v>20</x:v>
      </x:c>
      <x:c r="J411" s="9" t="str">
        <x:v>PENDIENTE</x:v>
      </x:c>
      <x:c r="K411" s="10" t="n">
        <x:v>46949</x:v>
      </x:c>
      <x:c r="L411" s="7" t="str">
        <x:v>Avance 2028-07-15</x:v>
      </x:c>
      <x:c r="M411" s="8" t="str">
        <x:v>Validar aplicabilidad antes de remediar.</x:v>
      </x:c>
      <x:c r="N411" s="17"/>
      <x:c r="O411" s="17"/>
    </x:row>
    <x:row r="412" ht="15" hidden="0" customHeight="1">
      <x:c r="A412" s="7" t="str">
        <x:v>SIAJ-0069</x:v>
      </x:c>
      <x:c r="B412" s="7" t="str">
        <x:v>SAST</x:v>
      </x:c>
      <x:c r="C412" s="7" t="str">
        <x:v>MEDIUM</x:v>
      </x:c>
      <x:c r="D412" s="8" t="str">
        <x:v>Parameter_Tampering 54/196</x:v>
      </x:c>
      <x:c r="E412" s="7" t="str">
        <x:v>Código fuente Java</x:v>
      </x:c>
      <x:c r="F412" s="7" t="str"/>
      <x:c r="G412" s="7" t="str">
        <x:v>CWE-472</x:v>
      </x:c>
      <x:c r="H412" s="7" t="str"/>
      <x:c r="I412" s="7" t="n">
        <x:v>20</x:v>
      </x:c>
      <x:c r="J412" s="9" t="str">
        <x:v>PENDIENTE</x:v>
      </x:c>
      <x:c r="K412" s="10" t="n">
        <x:v>46949</x:v>
      </x:c>
      <x:c r="L412" s="7" t="str">
        <x:v>Avance 2028-07-15</x:v>
      </x:c>
      <x:c r="M412" s="8" t="str">
        <x:v>Validar aplicabilidad antes de remediar.</x:v>
      </x:c>
      <x:c r="N412" s="17"/>
      <x:c r="O412" s="17"/>
    </x:row>
    <x:row r="413" ht="15" hidden="0" customHeight="1">
      <x:c r="A413" s="7" t="str">
        <x:v>SIAJ-0070</x:v>
      </x:c>
      <x:c r="B413" s="7" t="str">
        <x:v>SAST</x:v>
      </x:c>
      <x:c r="C413" s="7" t="str">
        <x:v>MEDIUM</x:v>
      </x:c>
      <x:c r="D413" s="8" t="str">
        <x:v>Parameter_Tampering 55/196</x:v>
      </x:c>
      <x:c r="E413" s="7" t="str">
        <x:v>Código fuente Java</x:v>
      </x:c>
      <x:c r="F413" s="7" t="str"/>
      <x:c r="G413" s="7" t="str">
        <x:v>CWE-472</x:v>
      </x:c>
      <x:c r="H413" s="7" t="str"/>
      <x:c r="I413" s="7" t="n">
        <x:v>20</x:v>
      </x:c>
      <x:c r="J413" s="9" t="str">
        <x:v>PENDIENTE</x:v>
      </x:c>
      <x:c r="K413" s="10" t="n">
        <x:v>46949</x:v>
      </x:c>
      <x:c r="L413" s="7" t="str">
        <x:v>Avance 2028-07-15</x:v>
      </x:c>
      <x:c r="M413" s="8" t="str">
        <x:v>Validar aplicabilidad antes de remediar.</x:v>
      </x:c>
      <x:c r="N413" s="17"/>
      <x:c r="O413" s="17"/>
    </x:row>
    <x:row r="414" ht="15" hidden="0" customHeight="1">
      <x:c r="A414" s="7" t="str">
        <x:v>SIAJ-0071</x:v>
      </x:c>
      <x:c r="B414" s="7" t="str">
        <x:v>SAST</x:v>
      </x:c>
      <x:c r="C414" s="7" t="str">
        <x:v>MEDIUM</x:v>
      </x:c>
      <x:c r="D414" s="8" t="str">
        <x:v>Parameter_Tampering 56/196</x:v>
      </x:c>
      <x:c r="E414" s="7" t="str">
        <x:v>Código fuente Java</x:v>
      </x:c>
      <x:c r="F414" s="7" t="str"/>
      <x:c r="G414" s="7" t="str">
        <x:v>CWE-472</x:v>
      </x:c>
      <x:c r="H414" s="7" t="str"/>
      <x:c r="I414" s="7" t="n">
        <x:v>20</x:v>
      </x:c>
      <x:c r="J414" s="9" t="str">
        <x:v>PENDIENTE</x:v>
      </x:c>
      <x:c r="K414" s="10" t="n">
        <x:v>46949</x:v>
      </x:c>
      <x:c r="L414" s="7" t="str">
        <x:v>Avance 2028-07-15</x:v>
      </x:c>
      <x:c r="M414" s="8" t="str">
        <x:v>Validar aplicabilidad antes de remediar.</x:v>
      </x:c>
      <x:c r="N414" s="17"/>
      <x:c r="O414" s="17"/>
    </x:row>
    <x:row r="415" ht="15" hidden="0" customHeight="1">
      <x:c r="A415" s="7" t="str">
        <x:v>SIAJ-0072</x:v>
      </x:c>
      <x:c r="B415" s="7" t="str">
        <x:v>SAST</x:v>
      </x:c>
      <x:c r="C415" s="7" t="str">
        <x:v>MEDIUM</x:v>
      </x:c>
      <x:c r="D415" s="8" t="str">
        <x:v>Parameter_Tampering 57/196</x:v>
      </x:c>
      <x:c r="E415" s="7" t="str">
        <x:v>Código fuente Java</x:v>
      </x:c>
      <x:c r="F415" s="7" t="str"/>
      <x:c r="G415" s="7" t="str">
        <x:v>CWE-472</x:v>
      </x:c>
      <x:c r="H415" s="7" t="str"/>
      <x:c r="I415" s="7" t="n">
        <x:v>20</x:v>
      </x:c>
      <x:c r="J415" s="9" t="str">
        <x:v>PENDIENTE</x:v>
      </x:c>
      <x:c r="K415" s="10" t="n">
        <x:v>46949</x:v>
      </x:c>
      <x:c r="L415" s="7" t="str">
        <x:v>Avance 2028-07-15</x:v>
      </x:c>
      <x:c r="M415" s="8" t="str">
        <x:v>Validar aplicabilidad antes de remediar.</x:v>
      </x:c>
      <x:c r="N415" s="17"/>
      <x:c r="O415" s="17"/>
    </x:row>
    <x:row r="416" ht="15" hidden="0" customHeight="1">
      <x:c r="A416" s="7" t="str">
        <x:v>SIAJ-0073</x:v>
      </x:c>
      <x:c r="B416" s="7" t="str">
        <x:v>SAST</x:v>
      </x:c>
      <x:c r="C416" s="7" t="str">
        <x:v>MEDIUM</x:v>
      </x:c>
      <x:c r="D416" s="8" t="str">
        <x:v>Parameter_Tampering 58/196</x:v>
      </x:c>
      <x:c r="E416" s="7" t="str">
        <x:v>Código fuente Java</x:v>
      </x:c>
      <x:c r="F416" s="7" t="str"/>
      <x:c r="G416" s="7" t="str">
        <x:v>CWE-472</x:v>
      </x:c>
      <x:c r="H416" s="7" t="str"/>
      <x:c r="I416" s="7" t="n">
        <x:v>20</x:v>
      </x:c>
      <x:c r="J416" s="9" t="str">
        <x:v>PENDIENTE</x:v>
      </x:c>
      <x:c r="K416" s="10" t="n">
        <x:v>46949</x:v>
      </x:c>
      <x:c r="L416" s="7" t="str">
        <x:v>Avance 2028-07-15</x:v>
      </x:c>
      <x:c r="M416" s="8" t="str">
        <x:v>Validar aplicabilidad antes de remediar.</x:v>
      </x:c>
      <x:c r="N416" s="17"/>
      <x:c r="O416" s="17"/>
    </x:row>
    <x:row r="417" ht="15" hidden="0" customHeight="1">
      <x:c r="A417" s="7" t="str">
        <x:v>SIAJ-0074</x:v>
      </x:c>
      <x:c r="B417" s="7" t="str">
        <x:v>SAST</x:v>
      </x:c>
      <x:c r="C417" s="7" t="str">
        <x:v>MEDIUM</x:v>
      </x:c>
      <x:c r="D417" s="8" t="str">
        <x:v>Parameter_Tampering 59/196</x:v>
      </x:c>
      <x:c r="E417" s="7" t="str">
        <x:v>Código fuente Java</x:v>
      </x:c>
      <x:c r="F417" s="7" t="str"/>
      <x:c r="G417" s="7" t="str">
        <x:v>CWE-472</x:v>
      </x:c>
      <x:c r="H417" s="7" t="str"/>
      <x:c r="I417" s="7" t="n">
        <x:v>20</x:v>
      </x:c>
      <x:c r="J417" s="9" t="str">
        <x:v>PENDIENTE</x:v>
      </x:c>
      <x:c r="K417" s="10" t="n">
        <x:v>46949</x:v>
      </x:c>
      <x:c r="L417" s="7" t="str">
        <x:v>Avance 2028-07-15</x:v>
      </x:c>
      <x:c r="M417" s="8" t="str">
        <x:v>Validar aplicabilidad antes de remediar.</x:v>
      </x:c>
      <x:c r="N417" s="17"/>
      <x:c r="O417" s="17"/>
    </x:row>
    <x:row r="418" ht="15" hidden="0" customHeight="1">
      <x:c r="A418" s="7" t="str">
        <x:v>SIAJ-0021</x:v>
      </x:c>
      <x:c r="B418" s="7" t="str">
        <x:v>SAST</x:v>
      </x:c>
      <x:c r="C418" s="7" t="str">
        <x:v>MEDIUM</x:v>
      </x:c>
      <x:c r="D418" s="8" t="str">
        <x:v>Parameter_Tampering 6/196</x:v>
      </x:c>
      <x:c r="E418" s="7" t="str">
        <x:v>Código fuente Java</x:v>
      </x:c>
      <x:c r="F418" s="7" t="str"/>
      <x:c r="G418" s="7" t="str">
        <x:v>CWE-472</x:v>
      </x:c>
      <x:c r="H418" s="7" t="str"/>
      <x:c r="I418" s="7" t="n">
        <x:v>20</x:v>
      </x:c>
      <x:c r="J418" s="9" t="str">
        <x:v>PENDIENTE</x:v>
      </x:c>
      <x:c r="K418" s="10" t="n">
        <x:v>46949</x:v>
      </x:c>
      <x:c r="L418" s="7" t="str">
        <x:v>Avance 2028-07-15</x:v>
      </x:c>
      <x:c r="M418" s="8" t="str">
        <x:v>Validar aplicabilidad antes de remediar.</x:v>
      </x:c>
      <x:c r="N418" s="17"/>
      <x:c r="O418" s="17"/>
    </x:row>
    <x:row r="419" ht="15" hidden="0" customHeight="1">
      <x:c r="A419" s="7" t="str">
        <x:v>SIAJ-0075</x:v>
      </x:c>
      <x:c r="B419" s="7" t="str">
        <x:v>SAST</x:v>
      </x:c>
      <x:c r="C419" s="7" t="str">
        <x:v>MEDIUM</x:v>
      </x:c>
      <x:c r="D419" s="8" t="str">
        <x:v>Parameter_Tampering 60/196</x:v>
      </x:c>
      <x:c r="E419" s="7" t="str">
        <x:v>Código fuente Java</x:v>
      </x:c>
      <x:c r="F419" s="7" t="str"/>
      <x:c r="G419" s="7" t="str">
        <x:v>CWE-472</x:v>
      </x:c>
      <x:c r="H419" s="7" t="str"/>
      <x:c r="I419" s="7" t="n">
        <x:v>20</x:v>
      </x:c>
      <x:c r="J419" s="9" t="str">
        <x:v>PENDIENTE</x:v>
      </x:c>
      <x:c r="K419" s="10" t="n">
        <x:v>46949</x:v>
      </x:c>
      <x:c r="L419" s="7" t="str">
        <x:v>Avance 2028-07-15</x:v>
      </x:c>
      <x:c r="M419" s="8" t="str">
        <x:v>Validar aplicabilidad antes de remediar.</x:v>
      </x:c>
      <x:c r="N419" s="17"/>
      <x:c r="O419" s="17"/>
    </x:row>
    <x:row r="420" ht="15" hidden="0" customHeight="1">
      <x:c r="A420" s="7" t="str">
        <x:v>SIAJ-0076</x:v>
      </x:c>
      <x:c r="B420" s="7" t="str">
        <x:v>SAST</x:v>
      </x:c>
      <x:c r="C420" s="7" t="str">
        <x:v>MEDIUM</x:v>
      </x:c>
      <x:c r="D420" s="8" t="str">
        <x:v>Parameter_Tampering 61/196</x:v>
      </x:c>
      <x:c r="E420" s="7" t="str">
        <x:v>Código fuente Java</x:v>
      </x:c>
      <x:c r="F420" s="7" t="str"/>
      <x:c r="G420" s="7" t="str">
        <x:v>CWE-472</x:v>
      </x:c>
      <x:c r="H420" s="7" t="str"/>
      <x:c r="I420" s="7" t="n">
        <x:v>20</x:v>
      </x:c>
      <x:c r="J420" s="9" t="str">
        <x:v>PENDIENTE</x:v>
      </x:c>
      <x:c r="K420" s="10" t="n">
        <x:v>46949</x:v>
      </x:c>
      <x:c r="L420" s="7" t="str">
        <x:v>Avance 2028-07-15</x:v>
      </x:c>
      <x:c r="M420" s="8" t="str">
        <x:v>Validar aplicabilidad antes de remediar.</x:v>
      </x:c>
      <x:c r="N420" s="17"/>
      <x:c r="O420" s="17"/>
    </x:row>
    <x:row r="421" ht="15" hidden="0" customHeight="1">
      <x:c r="A421" s="7" t="str">
        <x:v>SIAJ-0077</x:v>
      </x:c>
      <x:c r="B421" s="7" t="str">
        <x:v>SAST</x:v>
      </x:c>
      <x:c r="C421" s="7" t="str">
        <x:v>MEDIUM</x:v>
      </x:c>
      <x:c r="D421" s="8" t="str">
        <x:v>Parameter_Tampering 62/196</x:v>
      </x:c>
      <x:c r="E421" s="7" t="str">
        <x:v>Código fuente Java</x:v>
      </x:c>
      <x:c r="F421" s="7" t="str"/>
      <x:c r="G421" s="7" t="str">
        <x:v>CWE-472</x:v>
      </x:c>
      <x:c r="H421" s="7" t="str"/>
      <x:c r="I421" s="7" t="n">
        <x:v>20</x:v>
      </x:c>
      <x:c r="J421" s="9" t="str">
        <x:v>PENDIENTE</x:v>
      </x:c>
      <x:c r="K421" s="10" t="n">
        <x:v>46949</x:v>
      </x:c>
      <x:c r="L421" s="7" t="str">
        <x:v>Avance 2028-07-15</x:v>
      </x:c>
      <x:c r="M421" s="8" t="str">
        <x:v>Validar aplicabilidad antes de remediar.</x:v>
      </x:c>
      <x:c r="N421" s="17"/>
      <x:c r="O421" s="17"/>
    </x:row>
    <x:row r="422" ht="15" hidden="0" customHeight="1">
      <x:c r="A422" s="7" t="str">
        <x:v>SIAJ-0078</x:v>
      </x:c>
      <x:c r="B422" s="7" t="str">
        <x:v>SAST</x:v>
      </x:c>
      <x:c r="C422" s="7" t="str">
        <x:v>MEDIUM</x:v>
      </x:c>
      <x:c r="D422" s="8" t="str">
        <x:v>Parameter_Tampering 63/196</x:v>
      </x:c>
      <x:c r="E422" s="7" t="str">
        <x:v>Código fuente Java</x:v>
      </x:c>
      <x:c r="F422" s="7" t="str"/>
      <x:c r="G422" s="7" t="str">
        <x:v>CWE-472</x:v>
      </x:c>
      <x:c r="H422" s="7" t="str"/>
      <x:c r="I422" s="7" t="n">
        <x:v>20</x:v>
      </x:c>
      <x:c r="J422" s="9" t="str">
        <x:v>PENDIENTE</x:v>
      </x:c>
      <x:c r="K422" s="10" t="n">
        <x:v>46949</x:v>
      </x:c>
      <x:c r="L422" s="7" t="str">
        <x:v>Avance 2028-07-15</x:v>
      </x:c>
      <x:c r="M422" s="8" t="str">
        <x:v>Validar aplicabilidad antes de remediar.</x:v>
      </x:c>
      <x:c r="N422" s="17"/>
      <x:c r="O422" s="17"/>
    </x:row>
    <x:row r="423" ht="15" hidden="0" customHeight="1">
      <x:c r="A423" s="7" t="str">
        <x:v>SIAJ-0079</x:v>
      </x:c>
      <x:c r="B423" s="7" t="str">
        <x:v>SAST</x:v>
      </x:c>
      <x:c r="C423" s="7" t="str">
        <x:v>MEDIUM</x:v>
      </x:c>
      <x:c r="D423" s="8" t="str">
        <x:v>Parameter_Tampering 64/196</x:v>
      </x:c>
      <x:c r="E423" s="7" t="str">
        <x:v>Código fuente Java</x:v>
      </x:c>
      <x:c r="F423" s="7" t="str"/>
      <x:c r="G423" s="7" t="str">
        <x:v>CWE-472</x:v>
      </x:c>
      <x:c r="H423" s="7" t="str"/>
      <x:c r="I423" s="7" t="n">
        <x:v>20</x:v>
      </x:c>
      <x:c r="J423" s="9" t="str">
        <x:v>PENDIENTE</x:v>
      </x:c>
      <x:c r="K423" s="10" t="n">
        <x:v>46949</x:v>
      </x:c>
      <x:c r="L423" s="7" t="str">
        <x:v>Avance 2028-07-15</x:v>
      </x:c>
      <x:c r="M423" s="8" t="str">
        <x:v>Validar aplicabilidad antes de remediar.</x:v>
      </x:c>
      <x:c r="N423" s="17"/>
      <x:c r="O423" s="17"/>
    </x:row>
    <x:row r="424" ht="15" hidden="0" customHeight="1">
      <x:c r="A424" s="7" t="str">
        <x:v>SIAJ-0080</x:v>
      </x:c>
      <x:c r="B424" s="7" t="str">
        <x:v>SAST</x:v>
      </x:c>
      <x:c r="C424" s="7" t="str">
        <x:v>MEDIUM</x:v>
      </x:c>
      <x:c r="D424" s="8" t="str">
        <x:v>Parameter_Tampering 65/196</x:v>
      </x:c>
      <x:c r="E424" s="7" t="str">
        <x:v>Código fuente Java</x:v>
      </x:c>
      <x:c r="F424" s="7" t="str"/>
      <x:c r="G424" s="7" t="str">
        <x:v>CWE-472</x:v>
      </x:c>
      <x:c r="H424" s="7" t="str"/>
      <x:c r="I424" s="7" t="n">
        <x:v>20</x:v>
      </x:c>
      <x:c r="J424" s="9" t="str">
        <x:v>PENDIENTE</x:v>
      </x:c>
      <x:c r="K424" s="10" t="n">
        <x:v>46949</x:v>
      </x:c>
      <x:c r="L424" s="7" t="str">
        <x:v>Avance 2028-07-15</x:v>
      </x:c>
      <x:c r="M424" s="8" t="str">
        <x:v>Validar aplicabilidad antes de remediar.</x:v>
      </x:c>
      <x:c r="N424" s="17"/>
      <x:c r="O424" s="17"/>
    </x:row>
    <x:row r="425" ht="15" hidden="0" customHeight="1">
      <x:c r="A425" s="7" t="str">
        <x:v>SIAJ-0081</x:v>
      </x:c>
      <x:c r="B425" s="7" t="str">
        <x:v>SAST</x:v>
      </x:c>
      <x:c r="C425" s="7" t="str">
        <x:v>MEDIUM</x:v>
      </x:c>
      <x:c r="D425" s="8" t="str">
        <x:v>Parameter_Tampering 66/196</x:v>
      </x:c>
      <x:c r="E425" s="7" t="str">
        <x:v>Código fuente Java</x:v>
      </x:c>
      <x:c r="F425" s="7" t="str"/>
      <x:c r="G425" s="7" t="str">
        <x:v>CWE-472</x:v>
      </x:c>
      <x:c r="H425" s="7" t="str"/>
      <x:c r="I425" s="7" t="n">
        <x:v>20</x:v>
      </x:c>
      <x:c r="J425" s="9" t="str">
        <x:v>PENDIENTE</x:v>
      </x:c>
      <x:c r="K425" s="10" t="n">
        <x:v>46949</x:v>
      </x:c>
      <x:c r="L425" s="7" t="str">
        <x:v>Avance 2028-07-15</x:v>
      </x:c>
      <x:c r="M425" s="8" t="str">
        <x:v>Validar aplicabilidad antes de remediar.</x:v>
      </x:c>
      <x:c r="N425" s="17"/>
      <x:c r="O425" s="17"/>
    </x:row>
    <x:row r="426" ht="15" hidden="0" customHeight="1">
      <x:c r="A426" s="7" t="str">
        <x:v>SIAJ-0082</x:v>
      </x:c>
      <x:c r="B426" s="7" t="str">
        <x:v>SAST</x:v>
      </x:c>
      <x:c r="C426" s="7" t="str">
        <x:v>MEDIUM</x:v>
      </x:c>
      <x:c r="D426" s="8" t="str">
        <x:v>Parameter_Tampering 67/196</x:v>
      </x:c>
      <x:c r="E426" s="7" t="str">
        <x:v>Código fuente Java</x:v>
      </x:c>
      <x:c r="F426" s="7" t="str"/>
      <x:c r="G426" s="7" t="str">
        <x:v>CWE-472</x:v>
      </x:c>
      <x:c r="H426" s="7" t="str"/>
      <x:c r="I426" s="7" t="n">
        <x:v>20</x:v>
      </x:c>
      <x:c r="J426" s="9" t="str">
        <x:v>PENDIENTE</x:v>
      </x:c>
      <x:c r="K426" s="10" t="n">
        <x:v>46949</x:v>
      </x:c>
      <x:c r="L426" s="7" t="str">
        <x:v>Avance 2028-07-15</x:v>
      </x:c>
      <x:c r="M426" s="8" t="str">
        <x:v>Validar aplicabilidad antes de remediar.</x:v>
      </x:c>
      <x:c r="N426" s="17"/>
      <x:c r="O426" s="17"/>
    </x:row>
    <x:row r="427" ht="15" hidden="0" customHeight="1">
      <x:c r="A427" s="7" t="str">
        <x:v>SIAJ-0083</x:v>
      </x:c>
      <x:c r="B427" s="7" t="str">
        <x:v>SAST</x:v>
      </x:c>
      <x:c r="C427" s="7" t="str">
        <x:v>MEDIUM</x:v>
      </x:c>
      <x:c r="D427" s="8" t="str">
        <x:v>Parameter_Tampering 68/196</x:v>
      </x:c>
      <x:c r="E427" s="7" t="str">
        <x:v>Código fuente Java</x:v>
      </x:c>
      <x:c r="F427" s="7" t="str"/>
      <x:c r="G427" s="7" t="str">
        <x:v>CWE-472</x:v>
      </x:c>
      <x:c r="H427" s="7" t="str"/>
      <x:c r="I427" s="7" t="n">
        <x:v>20</x:v>
      </x:c>
      <x:c r="J427" s="9" t="str">
        <x:v>PENDIENTE</x:v>
      </x:c>
      <x:c r="K427" s="10" t="n">
        <x:v>46949</x:v>
      </x:c>
      <x:c r="L427" s="7" t="str">
        <x:v>Avance 2028-07-15</x:v>
      </x:c>
      <x:c r="M427" s="8" t="str">
        <x:v>Validar aplicabilidad antes de remediar.</x:v>
      </x:c>
      <x:c r="N427" s="17"/>
      <x:c r="O427" s="17"/>
    </x:row>
    <x:row r="428" ht="15" hidden="0" customHeight="1">
      <x:c r="A428" s="7" t="str">
        <x:v>SIAJ-0084</x:v>
      </x:c>
      <x:c r="B428" s="7" t="str">
        <x:v>SAST</x:v>
      </x:c>
      <x:c r="C428" s="7" t="str">
        <x:v>MEDIUM</x:v>
      </x:c>
      <x:c r="D428" s="8" t="str">
        <x:v>Parameter_Tampering 69/196</x:v>
      </x:c>
      <x:c r="E428" s="7" t="str">
        <x:v>Código fuente Java</x:v>
      </x:c>
      <x:c r="F428" s="7" t="str"/>
      <x:c r="G428" s="7" t="str">
        <x:v>CWE-472</x:v>
      </x:c>
      <x:c r="H428" s="7" t="str"/>
      <x:c r="I428" s="7" t="n">
        <x:v>20</x:v>
      </x:c>
      <x:c r="J428" s="9" t="str">
        <x:v>PENDIENTE</x:v>
      </x:c>
      <x:c r="K428" s="10" t="n">
        <x:v>46980</x:v>
      </x:c>
      <x:c r="L428" s="7" t="str">
        <x:v>Avance 2028-08-15</x:v>
      </x:c>
      <x:c r="M428" s="8" t="str">
        <x:v>Validar aplicabilidad antes de remediar.</x:v>
      </x:c>
      <x:c r="N428" s="17"/>
      <x:c r="O428" s="17"/>
    </x:row>
    <x:row r="429" ht="15" hidden="0" customHeight="1">
      <x:c r="A429" s="7" t="str">
        <x:v>SIAJ-0022</x:v>
      </x:c>
      <x:c r="B429" s="7" t="str">
        <x:v>SAST</x:v>
      </x:c>
      <x:c r="C429" s="7" t="str">
        <x:v>MEDIUM</x:v>
      </x:c>
      <x:c r="D429" s="8" t="str">
        <x:v>Parameter_Tampering 7/196</x:v>
      </x:c>
      <x:c r="E429" s="7" t="str">
        <x:v>Código fuente Java</x:v>
      </x:c>
      <x:c r="F429" s="7" t="str"/>
      <x:c r="G429" s="7" t="str">
        <x:v>CWE-472</x:v>
      </x:c>
      <x:c r="H429" s="7" t="str"/>
      <x:c r="I429" s="7" t="n">
        <x:v>20</x:v>
      </x:c>
      <x:c r="J429" s="9" t="str">
        <x:v>PENDIENTE</x:v>
      </x:c>
      <x:c r="K429" s="10" t="n">
        <x:v>46980</x:v>
      </x:c>
      <x:c r="L429" s="7" t="str">
        <x:v>Avance 2028-08-15</x:v>
      </x:c>
      <x:c r="M429" s="8" t="str">
        <x:v>Validar aplicabilidad antes de remediar.</x:v>
      </x:c>
      <x:c r="N429" s="17"/>
      <x:c r="O429" s="17"/>
    </x:row>
    <x:row r="430" ht="15" hidden="0" customHeight="1">
      <x:c r="A430" s="7" t="str">
        <x:v>SIAJ-0085</x:v>
      </x:c>
      <x:c r="B430" s="7" t="str">
        <x:v>SAST</x:v>
      </x:c>
      <x:c r="C430" s="7" t="str">
        <x:v>MEDIUM</x:v>
      </x:c>
      <x:c r="D430" s="8" t="str">
        <x:v>Parameter_Tampering 70/196</x:v>
      </x:c>
      <x:c r="E430" s="7" t="str">
        <x:v>Código fuente Java</x:v>
      </x:c>
      <x:c r="F430" s="7" t="str"/>
      <x:c r="G430" s="7" t="str">
        <x:v>CWE-472</x:v>
      </x:c>
      <x:c r="H430" s="7" t="str"/>
      <x:c r="I430" s="7" t="n">
        <x:v>20</x:v>
      </x:c>
      <x:c r="J430" s="9" t="str">
        <x:v>PENDIENTE</x:v>
      </x:c>
      <x:c r="K430" s="10" t="n">
        <x:v>46980</x:v>
      </x:c>
      <x:c r="L430" s="7" t="str">
        <x:v>Avance 2028-08-15</x:v>
      </x:c>
      <x:c r="M430" s="8" t="str">
        <x:v>Validar aplicabilidad antes de remediar.</x:v>
      </x:c>
      <x:c r="N430" s="17"/>
      <x:c r="O430" s="17"/>
    </x:row>
    <x:row r="431" ht="15" hidden="0" customHeight="1">
      <x:c r="A431" s="7" t="str">
        <x:v>SIAJ-0086</x:v>
      </x:c>
      <x:c r="B431" s="7" t="str">
        <x:v>SAST</x:v>
      </x:c>
      <x:c r="C431" s="7" t="str">
        <x:v>MEDIUM</x:v>
      </x:c>
      <x:c r="D431" s="8" t="str">
        <x:v>Parameter_Tampering 71/196</x:v>
      </x:c>
      <x:c r="E431" s="7" t="str">
        <x:v>Código fuente Java</x:v>
      </x:c>
      <x:c r="F431" s="7" t="str"/>
      <x:c r="G431" s="7" t="str">
        <x:v>CWE-472</x:v>
      </x:c>
      <x:c r="H431" s="7" t="str"/>
      <x:c r="I431" s="7" t="n">
        <x:v>20</x:v>
      </x:c>
      <x:c r="J431" s="9" t="str">
        <x:v>PENDIENTE</x:v>
      </x:c>
      <x:c r="K431" s="10" t="n">
        <x:v>46980</x:v>
      </x:c>
      <x:c r="L431" s="7" t="str">
        <x:v>Avance 2028-08-15</x:v>
      </x:c>
      <x:c r="M431" s="8" t="str">
        <x:v>Validar aplicabilidad antes de remediar.</x:v>
      </x:c>
      <x:c r="N431" s="17"/>
      <x:c r="O431" s="17"/>
    </x:row>
    <x:row r="432" ht="15" hidden="0" customHeight="1">
      <x:c r="A432" s="7" t="str">
        <x:v>SIAJ-0087</x:v>
      </x:c>
      <x:c r="B432" s="7" t="str">
        <x:v>SAST</x:v>
      </x:c>
      <x:c r="C432" s="7" t="str">
        <x:v>MEDIUM</x:v>
      </x:c>
      <x:c r="D432" s="8" t="str">
        <x:v>Parameter_Tampering 72/196</x:v>
      </x:c>
      <x:c r="E432" s="7" t="str">
        <x:v>Código fuente Java</x:v>
      </x:c>
      <x:c r="F432" s="7" t="str"/>
      <x:c r="G432" s="7" t="str">
        <x:v>CWE-472</x:v>
      </x:c>
      <x:c r="H432" s="7" t="str"/>
      <x:c r="I432" s="7" t="n">
        <x:v>20</x:v>
      </x:c>
      <x:c r="J432" s="9" t="str">
        <x:v>PENDIENTE</x:v>
      </x:c>
      <x:c r="K432" s="10" t="n">
        <x:v>46980</x:v>
      </x:c>
      <x:c r="L432" s="7" t="str">
        <x:v>Avance 2028-08-15</x:v>
      </x:c>
      <x:c r="M432" s="8" t="str">
        <x:v>Validar aplicabilidad antes de remediar.</x:v>
      </x:c>
      <x:c r="N432" s="17"/>
      <x:c r="O432" s="17"/>
    </x:row>
    <x:row r="433" ht="15" hidden="0" customHeight="1">
      <x:c r="A433" s="7" t="str">
        <x:v>SIAJ-0088</x:v>
      </x:c>
      <x:c r="B433" s="7" t="str">
        <x:v>SAST</x:v>
      </x:c>
      <x:c r="C433" s="7" t="str">
        <x:v>MEDIUM</x:v>
      </x:c>
      <x:c r="D433" s="8" t="str">
        <x:v>Parameter_Tampering 73/196</x:v>
      </x:c>
      <x:c r="E433" s="7" t="str">
        <x:v>Código fuente Java</x:v>
      </x:c>
      <x:c r="F433" s="7" t="str"/>
      <x:c r="G433" s="7" t="str">
        <x:v>CWE-472</x:v>
      </x:c>
      <x:c r="H433" s="7" t="str"/>
      <x:c r="I433" s="7" t="n">
        <x:v>20</x:v>
      </x:c>
      <x:c r="J433" s="9" t="str">
        <x:v>PENDIENTE</x:v>
      </x:c>
      <x:c r="K433" s="10" t="n">
        <x:v>46980</x:v>
      </x:c>
      <x:c r="L433" s="7" t="str">
        <x:v>Avance 2028-08-15</x:v>
      </x:c>
      <x:c r="M433" s="8" t="str">
        <x:v>Validar aplicabilidad antes de remediar.</x:v>
      </x:c>
      <x:c r="N433" s="17"/>
      <x:c r="O433" s="17"/>
    </x:row>
    <x:row r="434" ht="15" hidden="0" customHeight="1">
      <x:c r="A434" s="7" t="str">
        <x:v>SIAJ-0089</x:v>
      </x:c>
      <x:c r="B434" s="7" t="str">
        <x:v>SAST</x:v>
      </x:c>
      <x:c r="C434" s="7" t="str">
        <x:v>MEDIUM</x:v>
      </x:c>
      <x:c r="D434" s="8" t="str">
        <x:v>Parameter_Tampering 74/196</x:v>
      </x:c>
      <x:c r="E434" s="7" t="str">
        <x:v>Código fuente Java</x:v>
      </x:c>
      <x:c r="F434" s="7" t="str"/>
      <x:c r="G434" s="7" t="str">
        <x:v>CWE-472</x:v>
      </x:c>
      <x:c r="H434" s="7" t="str"/>
      <x:c r="I434" s="7" t="n">
        <x:v>20</x:v>
      </x:c>
      <x:c r="J434" s="9" t="str">
        <x:v>PENDIENTE</x:v>
      </x:c>
      <x:c r="K434" s="10" t="n">
        <x:v>46980</x:v>
      </x:c>
      <x:c r="L434" s="7" t="str">
        <x:v>Avance 2028-08-15</x:v>
      </x:c>
      <x:c r="M434" s="8" t="str">
        <x:v>Validar aplicabilidad antes de remediar.</x:v>
      </x:c>
      <x:c r="N434" s="17"/>
      <x:c r="O434" s="17"/>
    </x:row>
    <x:row r="435" ht="15" hidden="0" customHeight="1">
      <x:c r="A435" s="7" t="str">
        <x:v>SIAJ-0090</x:v>
      </x:c>
      <x:c r="B435" s="7" t="str">
        <x:v>SAST</x:v>
      </x:c>
      <x:c r="C435" s="7" t="str">
        <x:v>MEDIUM</x:v>
      </x:c>
      <x:c r="D435" s="8" t="str">
        <x:v>Parameter_Tampering 75/196</x:v>
      </x:c>
      <x:c r="E435" s="7" t="str">
        <x:v>Código fuente Java</x:v>
      </x:c>
      <x:c r="F435" s="7" t="str"/>
      <x:c r="G435" s="7" t="str">
        <x:v>CWE-472</x:v>
      </x:c>
      <x:c r="H435" s="7" t="str"/>
      <x:c r="I435" s="7" t="n">
        <x:v>20</x:v>
      </x:c>
      <x:c r="J435" s="9" t="str">
        <x:v>PENDIENTE</x:v>
      </x:c>
      <x:c r="K435" s="10" t="n">
        <x:v>46980</x:v>
      </x:c>
      <x:c r="L435" s="7" t="str">
        <x:v>Avance 2028-08-15</x:v>
      </x:c>
      <x:c r="M435" s="8" t="str">
        <x:v>Validar aplicabilidad antes de remediar.</x:v>
      </x:c>
      <x:c r="N435" s="17"/>
      <x:c r="O435" s="17"/>
    </x:row>
    <x:row r="436" ht="15" hidden="0" customHeight="1">
      <x:c r="A436" s="7" t="str">
        <x:v>SIAJ-0091</x:v>
      </x:c>
      <x:c r="B436" s="7" t="str">
        <x:v>SAST</x:v>
      </x:c>
      <x:c r="C436" s="7" t="str">
        <x:v>MEDIUM</x:v>
      </x:c>
      <x:c r="D436" s="8" t="str">
        <x:v>Parameter_Tampering 76/196</x:v>
      </x:c>
      <x:c r="E436" s="7" t="str">
        <x:v>Código fuente Java</x:v>
      </x:c>
      <x:c r="F436" s="7" t="str"/>
      <x:c r="G436" s="7" t="str">
        <x:v>CWE-472</x:v>
      </x:c>
      <x:c r="H436" s="7" t="str"/>
      <x:c r="I436" s="7" t="n">
        <x:v>20</x:v>
      </x:c>
      <x:c r="J436" s="9" t="str">
        <x:v>PENDIENTE</x:v>
      </x:c>
      <x:c r="K436" s="10" t="n">
        <x:v>46980</x:v>
      </x:c>
      <x:c r="L436" s="7" t="str">
        <x:v>Avance 2028-08-15</x:v>
      </x:c>
      <x:c r="M436" s="8" t="str">
        <x:v>Validar aplicabilidad antes de remediar.</x:v>
      </x:c>
      <x:c r="N436" s="17"/>
      <x:c r="O436" s="17"/>
    </x:row>
    <x:row r="437" ht="15" hidden="0" customHeight="1">
      <x:c r="A437" s="7" t="str">
        <x:v>SIAJ-0092</x:v>
      </x:c>
      <x:c r="B437" s="7" t="str">
        <x:v>SAST</x:v>
      </x:c>
      <x:c r="C437" s="7" t="str">
        <x:v>MEDIUM</x:v>
      </x:c>
      <x:c r="D437" s="8" t="str">
        <x:v>Parameter_Tampering 77/196</x:v>
      </x:c>
      <x:c r="E437" s="7" t="str">
        <x:v>Código fuente Java</x:v>
      </x:c>
      <x:c r="F437" s="7" t="str"/>
      <x:c r="G437" s="7" t="str">
        <x:v>CWE-472</x:v>
      </x:c>
      <x:c r="H437" s="7" t="str"/>
      <x:c r="I437" s="7" t="n">
        <x:v>20</x:v>
      </x:c>
      <x:c r="J437" s="9" t="str">
        <x:v>PENDIENTE</x:v>
      </x:c>
      <x:c r="K437" s="10" t="n">
        <x:v>46980</x:v>
      </x:c>
      <x:c r="L437" s="7" t="str">
        <x:v>Avance 2028-08-15</x:v>
      </x:c>
      <x:c r="M437" s="8" t="str">
        <x:v>Validar aplicabilidad antes de remediar.</x:v>
      </x:c>
      <x:c r="N437" s="17"/>
      <x:c r="O437" s="17"/>
    </x:row>
    <x:row r="438" ht="15" hidden="0" customHeight="1">
      <x:c r="A438" s="7" t="str">
        <x:v>SIAJ-0093</x:v>
      </x:c>
      <x:c r="B438" s="7" t="str">
        <x:v>SAST</x:v>
      </x:c>
      <x:c r="C438" s="7" t="str">
        <x:v>MEDIUM</x:v>
      </x:c>
      <x:c r="D438" s="8" t="str">
        <x:v>Parameter_Tampering 78/196</x:v>
      </x:c>
      <x:c r="E438" s="7" t="str">
        <x:v>Código fuente Java</x:v>
      </x:c>
      <x:c r="F438" s="7" t="str"/>
      <x:c r="G438" s="7" t="str">
        <x:v>CWE-472</x:v>
      </x:c>
      <x:c r="H438" s="7" t="str"/>
      <x:c r="I438" s="7" t="n">
        <x:v>20</x:v>
      </x:c>
      <x:c r="J438" s="9" t="str">
        <x:v>PENDIENTE</x:v>
      </x:c>
      <x:c r="K438" s="10" t="n">
        <x:v>46980</x:v>
      </x:c>
      <x:c r="L438" s="7" t="str">
        <x:v>Avance 2028-08-15</x:v>
      </x:c>
      <x:c r="M438" s="8" t="str">
        <x:v>Validar aplicabilidad antes de remediar.</x:v>
      </x:c>
      <x:c r="N438" s="17"/>
      <x:c r="O438" s="17"/>
    </x:row>
    <x:row r="439" ht="15" hidden="0" customHeight="1">
      <x:c r="A439" s="7" t="str">
        <x:v>SIAJ-0094</x:v>
      </x:c>
      <x:c r="B439" s="7" t="str">
        <x:v>SAST</x:v>
      </x:c>
      <x:c r="C439" s="7" t="str">
        <x:v>MEDIUM</x:v>
      </x:c>
      <x:c r="D439" s="8" t="str">
        <x:v>Parameter_Tampering 79/196</x:v>
      </x:c>
      <x:c r="E439" s="7" t="str">
        <x:v>Código fuente Java</x:v>
      </x:c>
      <x:c r="F439" s="7" t="str"/>
      <x:c r="G439" s="7" t="str">
        <x:v>CWE-472</x:v>
      </x:c>
      <x:c r="H439" s="7" t="str"/>
      <x:c r="I439" s="7" t="n">
        <x:v>20</x:v>
      </x:c>
      <x:c r="J439" s="9" t="str">
        <x:v>PENDIENTE</x:v>
      </x:c>
      <x:c r="K439" s="10" t="n">
        <x:v>46980</x:v>
      </x:c>
      <x:c r="L439" s="7" t="str">
        <x:v>Avance 2028-08-15</x:v>
      </x:c>
      <x:c r="M439" s="8" t="str">
        <x:v>Validar aplicabilidad antes de remediar.</x:v>
      </x:c>
      <x:c r="N439" s="17"/>
      <x:c r="O439" s="17"/>
    </x:row>
    <x:row r="440" ht="15" hidden="0" customHeight="1">
      <x:c r="A440" s="7" t="str">
        <x:v>SIAJ-0023</x:v>
      </x:c>
      <x:c r="B440" s="7" t="str">
        <x:v>SAST</x:v>
      </x:c>
      <x:c r="C440" s="7" t="str">
        <x:v>MEDIUM</x:v>
      </x:c>
      <x:c r="D440" s="8" t="str">
        <x:v>Parameter_Tampering 8/196</x:v>
      </x:c>
      <x:c r="E440" s="7" t="str">
        <x:v>Código fuente Java</x:v>
      </x:c>
      <x:c r="F440" s="7" t="str"/>
      <x:c r="G440" s="7" t="str">
        <x:v>CWE-472</x:v>
      </x:c>
      <x:c r="H440" s="7" t="str"/>
      <x:c r="I440" s="7" t="n">
        <x:v>20</x:v>
      </x:c>
      <x:c r="J440" s="9" t="str">
        <x:v>PENDIENTE</x:v>
      </x:c>
      <x:c r="K440" s="10" t="n">
        <x:v>46980</x:v>
      </x:c>
      <x:c r="L440" s="7" t="str">
        <x:v>Avance 2028-08-15</x:v>
      </x:c>
      <x:c r="M440" s="8" t="str">
        <x:v>Validar aplicabilidad antes de remediar.</x:v>
      </x:c>
      <x:c r="N440" s="17"/>
      <x:c r="O440" s="17"/>
    </x:row>
    <x:row r="441" ht="15" hidden="0" customHeight="1">
      <x:c r="A441" s="7" t="str">
        <x:v>SIAJ-0095</x:v>
      </x:c>
      <x:c r="B441" s="7" t="str">
        <x:v>SAST</x:v>
      </x:c>
      <x:c r="C441" s="7" t="str">
        <x:v>MEDIUM</x:v>
      </x:c>
      <x:c r="D441" s="8" t="str">
        <x:v>Parameter_Tampering 80/196</x:v>
      </x:c>
      <x:c r="E441" s="7" t="str">
        <x:v>Código fuente Java</x:v>
      </x:c>
      <x:c r="F441" s="7" t="str"/>
      <x:c r="G441" s="7" t="str">
        <x:v>CWE-472</x:v>
      </x:c>
      <x:c r="H441" s="7" t="str"/>
      <x:c r="I441" s="7" t="n">
        <x:v>20</x:v>
      </x:c>
      <x:c r="J441" s="9" t="str">
        <x:v>PENDIENTE</x:v>
      </x:c>
      <x:c r="K441" s="10" t="n">
        <x:v>46980</x:v>
      </x:c>
      <x:c r="L441" s="7" t="str">
        <x:v>Avance 2028-08-15</x:v>
      </x:c>
      <x:c r="M441" s="8" t="str">
        <x:v>Validar aplicabilidad antes de remediar.</x:v>
      </x:c>
      <x:c r="N441" s="17"/>
      <x:c r="O441" s="17"/>
    </x:row>
    <x:row r="442" ht="15" hidden="0" customHeight="1">
      <x:c r="A442" s="7" t="str">
        <x:v>SIAJ-0096</x:v>
      </x:c>
      <x:c r="B442" s="7" t="str">
        <x:v>SAST</x:v>
      </x:c>
      <x:c r="C442" s="7" t="str">
        <x:v>MEDIUM</x:v>
      </x:c>
      <x:c r="D442" s="8" t="str">
        <x:v>Parameter_Tampering 81/196</x:v>
      </x:c>
      <x:c r="E442" s="7" t="str">
        <x:v>Código fuente Java</x:v>
      </x:c>
      <x:c r="F442" s="7" t="str"/>
      <x:c r="G442" s="7" t="str">
        <x:v>CWE-472</x:v>
      </x:c>
      <x:c r="H442" s="7" t="str"/>
      <x:c r="I442" s="7" t="n">
        <x:v>20</x:v>
      </x:c>
      <x:c r="J442" s="9" t="str">
        <x:v>PENDIENTE</x:v>
      </x:c>
      <x:c r="K442" s="10" t="n">
        <x:v>46980</x:v>
      </x:c>
      <x:c r="L442" s="7" t="str">
        <x:v>Avance 2028-08-15</x:v>
      </x:c>
      <x:c r="M442" s="8" t="str">
        <x:v>Validar aplicabilidad antes de remediar.</x:v>
      </x:c>
      <x:c r="N442" s="17"/>
      <x:c r="O442" s="17"/>
    </x:row>
    <x:row r="443" ht="15" hidden="0" customHeight="1">
      <x:c r="A443" s="7" t="str">
        <x:v>SIAJ-0097</x:v>
      </x:c>
      <x:c r="B443" s="7" t="str">
        <x:v>SAST</x:v>
      </x:c>
      <x:c r="C443" s="7" t="str">
        <x:v>MEDIUM</x:v>
      </x:c>
      <x:c r="D443" s="8" t="str">
        <x:v>Parameter_Tampering 82/196</x:v>
      </x:c>
      <x:c r="E443" s="7" t="str">
        <x:v>Código fuente Java</x:v>
      </x:c>
      <x:c r="F443" s="7" t="str"/>
      <x:c r="G443" s="7" t="str">
        <x:v>CWE-472</x:v>
      </x:c>
      <x:c r="H443" s="7" t="str"/>
      <x:c r="I443" s="7" t="n">
        <x:v>20</x:v>
      </x:c>
      <x:c r="J443" s="9" t="str">
        <x:v>PENDIENTE</x:v>
      </x:c>
      <x:c r="K443" s="10" t="n">
        <x:v>46980</x:v>
      </x:c>
      <x:c r="L443" s="7" t="str">
        <x:v>Avance 2028-08-15</x:v>
      </x:c>
      <x:c r="M443" s="8" t="str">
        <x:v>Validar aplicabilidad antes de remediar.</x:v>
      </x:c>
      <x:c r="N443" s="17"/>
      <x:c r="O443" s="17"/>
    </x:row>
    <x:row r="444" ht="15" hidden="0" customHeight="1">
      <x:c r="A444" s="7" t="str">
        <x:v>SIAJ-0098</x:v>
      </x:c>
      <x:c r="B444" s="7" t="str">
        <x:v>SAST</x:v>
      </x:c>
      <x:c r="C444" s="7" t="str">
        <x:v>MEDIUM</x:v>
      </x:c>
      <x:c r="D444" s="8" t="str">
        <x:v>Parameter_Tampering 83/196</x:v>
      </x:c>
      <x:c r="E444" s="7" t="str">
        <x:v>Código fuente Java</x:v>
      </x:c>
      <x:c r="F444" s="7" t="str"/>
      <x:c r="G444" s="7" t="str">
        <x:v>CWE-472</x:v>
      </x:c>
      <x:c r="H444" s="7" t="str"/>
      <x:c r="I444" s="7" t="n">
        <x:v>20</x:v>
      </x:c>
      <x:c r="J444" s="9" t="str">
        <x:v>PENDIENTE</x:v>
      </x:c>
      <x:c r="K444" s="10" t="n">
        <x:v>46980</x:v>
      </x:c>
      <x:c r="L444" s="7" t="str">
        <x:v>Avance 2028-08-15</x:v>
      </x:c>
      <x:c r="M444" s="8" t="str">
        <x:v>Validar aplicabilidad antes de remediar.</x:v>
      </x:c>
      <x:c r="N444" s="17"/>
      <x:c r="O444" s="17"/>
    </x:row>
    <x:row r="445" ht="15" hidden="0" customHeight="1">
      <x:c r="A445" s="7" t="str">
        <x:v>SIAJ-0099</x:v>
      </x:c>
      <x:c r="B445" s="7" t="str">
        <x:v>SAST</x:v>
      </x:c>
      <x:c r="C445" s="7" t="str">
        <x:v>MEDIUM</x:v>
      </x:c>
      <x:c r="D445" s="8" t="str">
        <x:v>Parameter_Tampering 84/196</x:v>
      </x:c>
      <x:c r="E445" s="7" t="str">
        <x:v>Código fuente Java</x:v>
      </x:c>
      <x:c r="F445" s="7" t="str"/>
      <x:c r="G445" s="7" t="str">
        <x:v>CWE-472</x:v>
      </x:c>
      <x:c r="H445" s="7" t="str"/>
      <x:c r="I445" s="7" t="n">
        <x:v>20</x:v>
      </x:c>
      <x:c r="J445" s="9" t="str">
        <x:v>PENDIENTE</x:v>
      </x:c>
      <x:c r="K445" s="10" t="n">
        <x:v>46980</x:v>
      </x:c>
      <x:c r="L445" s="7" t="str">
        <x:v>Avance 2028-08-15</x:v>
      </x:c>
      <x:c r="M445" s="8" t="str">
        <x:v>Validar aplicabilidad antes de remediar.</x:v>
      </x:c>
      <x:c r="N445" s="17"/>
      <x:c r="O445" s="17"/>
    </x:row>
    <x:row r="446" ht="15" hidden="0" customHeight="1">
      <x:c r="A446" s="7" t="str">
        <x:v>SIAJ-0100</x:v>
      </x:c>
      <x:c r="B446" s="7" t="str">
        <x:v>SAST</x:v>
      </x:c>
      <x:c r="C446" s="7" t="str">
        <x:v>MEDIUM</x:v>
      </x:c>
      <x:c r="D446" s="8" t="str">
        <x:v>Parameter_Tampering 85/196</x:v>
      </x:c>
      <x:c r="E446" s="7" t="str">
        <x:v>Código fuente Java</x:v>
      </x:c>
      <x:c r="F446" s="7" t="str"/>
      <x:c r="G446" s="7" t="str">
        <x:v>CWE-472</x:v>
      </x:c>
      <x:c r="H446" s="7" t="str"/>
      <x:c r="I446" s="7" t="n">
        <x:v>20</x:v>
      </x:c>
      <x:c r="J446" s="9" t="str">
        <x:v>PENDIENTE</x:v>
      </x:c>
      <x:c r="K446" s="10" t="n">
        <x:v>47011</x:v>
      </x:c>
      <x:c r="L446" s="7" t="str">
        <x:v>Avance 2028-09-15</x:v>
      </x:c>
      <x:c r="M446" s="8" t="str">
        <x:v>Validar aplicabilidad antes de remediar.</x:v>
      </x:c>
      <x:c r="N446" s="17"/>
      <x:c r="O446" s="17"/>
    </x:row>
    <x:row r="447" ht="15" hidden="0" customHeight="1">
      <x:c r="A447" s="7" t="str">
        <x:v>SIAJ-0101</x:v>
      </x:c>
      <x:c r="B447" s="7" t="str">
        <x:v>SAST</x:v>
      </x:c>
      <x:c r="C447" s="7" t="str">
        <x:v>MEDIUM</x:v>
      </x:c>
      <x:c r="D447" s="8" t="str">
        <x:v>Parameter_Tampering 86/196</x:v>
      </x:c>
      <x:c r="E447" s="7" t="str">
        <x:v>Código fuente Java</x:v>
      </x:c>
      <x:c r="F447" s="7" t="str"/>
      <x:c r="G447" s="7" t="str">
        <x:v>CWE-472</x:v>
      </x:c>
      <x:c r="H447" s="7" t="str"/>
      <x:c r="I447" s="7" t="n">
        <x:v>20</x:v>
      </x:c>
      <x:c r="J447" s="9" t="str">
        <x:v>PENDIENTE</x:v>
      </x:c>
      <x:c r="K447" s="10" t="n">
        <x:v>47011</x:v>
      </x:c>
      <x:c r="L447" s="7" t="str">
        <x:v>Avance 2028-09-15</x:v>
      </x:c>
      <x:c r="M447" s="8" t="str">
        <x:v>Validar aplicabilidad antes de remediar.</x:v>
      </x:c>
      <x:c r="N447" s="17"/>
      <x:c r="O447" s="17"/>
    </x:row>
    <x:row r="448" ht="15" hidden="0" customHeight="1">
      <x:c r="A448" s="7" t="str">
        <x:v>SIAJ-0102</x:v>
      </x:c>
      <x:c r="B448" s="7" t="str">
        <x:v>SAST</x:v>
      </x:c>
      <x:c r="C448" s="7" t="str">
        <x:v>MEDIUM</x:v>
      </x:c>
      <x:c r="D448" s="8" t="str">
        <x:v>Parameter_Tampering 87/196</x:v>
      </x:c>
      <x:c r="E448" s="7" t="str">
        <x:v>Código fuente Java</x:v>
      </x:c>
      <x:c r="F448" s="7" t="str"/>
      <x:c r="G448" s="7" t="str">
        <x:v>CWE-472</x:v>
      </x:c>
      <x:c r="H448" s="7" t="str"/>
      <x:c r="I448" s="7" t="n">
        <x:v>20</x:v>
      </x:c>
      <x:c r="J448" s="9" t="str">
        <x:v>PENDIENTE</x:v>
      </x:c>
      <x:c r="K448" s="10" t="n">
        <x:v>47011</x:v>
      </x:c>
      <x:c r="L448" s="7" t="str">
        <x:v>Avance 2028-09-15</x:v>
      </x:c>
      <x:c r="M448" s="8" t="str">
        <x:v>Validar aplicabilidad antes de remediar.</x:v>
      </x:c>
      <x:c r="N448" s="17"/>
      <x:c r="O448" s="17"/>
    </x:row>
    <x:row r="449" ht="15" hidden="0" customHeight="1">
      <x:c r="A449" s="7" t="str">
        <x:v>SIAJ-0103</x:v>
      </x:c>
      <x:c r="B449" s="7" t="str">
        <x:v>SAST</x:v>
      </x:c>
      <x:c r="C449" s="7" t="str">
        <x:v>MEDIUM</x:v>
      </x:c>
      <x:c r="D449" s="8" t="str">
        <x:v>Parameter_Tampering 88/196</x:v>
      </x:c>
      <x:c r="E449" s="7" t="str">
        <x:v>Código fuente Java</x:v>
      </x:c>
      <x:c r="F449" s="7" t="str"/>
      <x:c r="G449" s="7" t="str">
        <x:v>CWE-472</x:v>
      </x:c>
      <x:c r="H449" s="7" t="str"/>
      <x:c r="I449" s="7" t="n">
        <x:v>20</x:v>
      </x:c>
      <x:c r="J449" s="9" t="str">
        <x:v>PENDIENTE</x:v>
      </x:c>
      <x:c r="K449" s="10" t="n">
        <x:v>47011</x:v>
      </x:c>
      <x:c r="L449" s="7" t="str">
        <x:v>Avance 2028-09-15</x:v>
      </x:c>
      <x:c r="M449" s="8" t="str">
        <x:v>Validar aplicabilidad antes de remediar.</x:v>
      </x:c>
      <x:c r="N449" s="17"/>
      <x:c r="O449" s="17"/>
    </x:row>
    <x:row r="450" ht="15" hidden="0" customHeight="1">
      <x:c r="A450" s="7" t="str">
        <x:v>SIAJ-0104</x:v>
      </x:c>
      <x:c r="B450" s="7" t="str">
        <x:v>SAST</x:v>
      </x:c>
      <x:c r="C450" s="7" t="str">
        <x:v>MEDIUM</x:v>
      </x:c>
      <x:c r="D450" s="8" t="str">
        <x:v>Parameter_Tampering 89/196</x:v>
      </x:c>
      <x:c r="E450" s="7" t="str">
        <x:v>Código fuente Java</x:v>
      </x:c>
      <x:c r="F450" s="7" t="str"/>
      <x:c r="G450" s="7" t="str">
        <x:v>CWE-472</x:v>
      </x:c>
      <x:c r="H450" s="7" t="str"/>
      <x:c r="I450" s="7" t="n">
        <x:v>20</x:v>
      </x:c>
      <x:c r="J450" s="9" t="str">
        <x:v>PENDIENTE</x:v>
      </x:c>
      <x:c r="K450" s="10" t="n">
        <x:v>47011</x:v>
      </x:c>
      <x:c r="L450" s="7" t="str">
        <x:v>Avance 2028-09-15</x:v>
      </x:c>
      <x:c r="M450" s="8" t="str">
        <x:v>Validar aplicabilidad antes de remediar.</x:v>
      </x:c>
      <x:c r="N450" s="17"/>
      <x:c r="O450" s="17"/>
    </x:row>
    <x:row r="451" ht="15" hidden="0" customHeight="1">
      <x:c r="A451" s="7" t="str">
        <x:v>SIAJ-0024</x:v>
      </x:c>
      <x:c r="B451" s="7" t="str">
        <x:v>SAST</x:v>
      </x:c>
      <x:c r="C451" s="7" t="str">
        <x:v>MEDIUM</x:v>
      </x:c>
      <x:c r="D451" s="8" t="str">
        <x:v>Parameter_Tampering 9/196</x:v>
      </x:c>
      <x:c r="E451" s="7" t="str">
        <x:v>Código fuente Java</x:v>
      </x:c>
      <x:c r="F451" s="7" t="str"/>
      <x:c r="G451" s="7" t="str">
        <x:v>CWE-472</x:v>
      </x:c>
      <x:c r="H451" s="7" t="str"/>
      <x:c r="I451" s="7" t="n">
        <x:v>20</x:v>
      </x:c>
      <x:c r="J451" s="9" t="str">
        <x:v>PENDIENTE</x:v>
      </x:c>
      <x:c r="K451" s="10" t="n">
        <x:v>47011</x:v>
      </x:c>
      <x:c r="L451" s="7" t="str">
        <x:v>Avance 2028-09-15</x:v>
      </x:c>
      <x:c r="M451" s="8" t="str">
        <x:v>Validar aplicabilidad antes de remediar.</x:v>
      </x:c>
      <x:c r="N451" s="17"/>
      <x:c r="O451" s="17"/>
    </x:row>
    <x:row r="452" ht="15" hidden="0" customHeight="1">
      <x:c r="A452" s="7" t="str">
        <x:v>SIAJ-0105</x:v>
      </x:c>
      <x:c r="B452" s="7" t="str">
        <x:v>SAST</x:v>
      </x:c>
      <x:c r="C452" s="7" t="str">
        <x:v>MEDIUM</x:v>
      </x:c>
      <x:c r="D452" s="8" t="str">
        <x:v>Parameter_Tampering 90/196</x:v>
      </x:c>
      <x:c r="E452" s="7" t="str">
        <x:v>Código fuente Java</x:v>
      </x:c>
      <x:c r="F452" s="7" t="str"/>
      <x:c r="G452" s="7" t="str">
        <x:v>CWE-472</x:v>
      </x:c>
      <x:c r="H452" s="7" t="str"/>
      <x:c r="I452" s="7" t="n">
        <x:v>20</x:v>
      </x:c>
      <x:c r="J452" s="9" t="str">
        <x:v>PENDIENTE</x:v>
      </x:c>
      <x:c r="K452" s="10" t="n">
        <x:v>47011</x:v>
      </x:c>
      <x:c r="L452" s="7" t="str">
        <x:v>Avance 2028-09-15</x:v>
      </x:c>
      <x:c r="M452" s="8" t="str">
        <x:v>Validar aplicabilidad antes de remediar.</x:v>
      </x:c>
      <x:c r="N452" s="17"/>
      <x:c r="O452" s="17"/>
    </x:row>
    <x:row r="453" ht="15" hidden="0" customHeight="1">
      <x:c r="A453" s="7" t="str">
        <x:v>SIAJ-0106</x:v>
      </x:c>
      <x:c r="B453" s="7" t="str">
        <x:v>SAST</x:v>
      </x:c>
      <x:c r="C453" s="7" t="str">
        <x:v>MEDIUM</x:v>
      </x:c>
      <x:c r="D453" s="8" t="str">
        <x:v>Parameter_Tampering 91/196</x:v>
      </x:c>
      <x:c r="E453" s="7" t="str">
        <x:v>Código fuente Java</x:v>
      </x:c>
      <x:c r="F453" s="7" t="str"/>
      <x:c r="G453" s="7" t="str">
        <x:v>CWE-472</x:v>
      </x:c>
      <x:c r="H453" s="7" t="str"/>
      <x:c r="I453" s="7" t="n">
        <x:v>20</x:v>
      </x:c>
      <x:c r="J453" s="9" t="str">
        <x:v>PENDIENTE</x:v>
      </x:c>
      <x:c r="K453" s="10" t="n">
        <x:v>47011</x:v>
      </x:c>
      <x:c r="L453" s="7" t="str">
        <x:v>Avance 2028-09-15</x:v>
      </x:c>
      <x:c r="M453" s="8" t="str">
        <x:v>Validar aplicabilidad antes de remediar.</x:v>
      </x:c>
      <x:c r="N453" s="17"/>
      <x:c r="O453" s="17"/>
    </x:row>
    <x:row r="454" ht="15" hidden="0" customHeight="1">
      <x:c r="A454" s="7" t="str">
        <x:v>SIAJ-0107</x:v>
      </x:c>
      <x:c r="B454" s="7" t="str">
        <x:v>SAST</x:v>
      </x:c>
      <x:c r="C454" s="7" t="str">
        <x:v>MEDIUM</x:v>
      </x:c>
      <x:c r="D454" s="8" t="str">
        <x:v>Parameter_Tampering 92/196</x:v>
      </x:c>
      <x:c r="E454" s="7" t="str">
        <x:v>Código fuente Java</x:v>
      </x:c>
      <x:c r="F454" s="7" t="str"/>
      <x:c r="G454" s="7" t="str">
        <x:v>CWE-472</x:v>
      </x:c>
      <x:c r="H454" s="7" t="str"/>
      <x:c r="I454" s="7" t="n">
        <x:v>20</x:v>
      </x:c>
      <x:c r="J454" s="9" t="str">
        <x:v>PENDIENTE</x:v>
      </x:c>
      <x:c r="K454" s="10" t="n">
        <x:v>47011</x:v>
      </x:c>
      <x:c r="L454" s="7" t="str">
        <x:v>Avance 2028-09-15</x:v>
      </x:c>
      <x:c r="M454" s="8" t="str">
        <x:v>Validar aplicabilidad antes de remediar.</x:v>
      </x:c>
      <x:c r="N454" s="17"/>
      <x:c r="O454" s="17"/>
    </x:row>
    <x:row r="455" ht="15" hidden="0" customHeight="1">
      <x:c r="A455" s="7" t="str">
        <x:v>SIAJ-0108</x:v>
      </x:c>
      <x:c r="B455" s="7" t="str">
        <x:v>SAST</x:v>
      </x:c>
      <x:c r="C455" s="7" t="str">
        <x:v>MEDIUM</x:v>
      </x:c>
      <x:c r="D455" s="8" t="str">
        <x:v>Parameter_Tampering 93/196</x:v>
      </x:c>
      <x:c r="E455" s="7" t="str">
        <x:v>Código fuente Java</x:v>
      </x:c>
      <x:c r="F455" s="7" t="str"/>
      <x:c r="G455" s="7" t="str">
        <x:v>CWE-472</x:v>
      </x:c>
      <x:c r="H455" s="7" t="str"/>
      <x:c r="I455" s="7" t="n">
        <x:v>20</x:v>
      </x:c>
      <x:c r="J455" s="9" t="str">
        <x:v>PENDIENTE</x:v>
      </x:c>
      <x:c r="K455" s="10" t="n">
        <x:v>47011</x:v>
      </x:c>
      <x:c r="L455" s="7" t="str">
        <x:v>Avance 2028-09-15</x:v>
      </x:c>
      <x:c r="M455" s="8" t="str">
        <x:v>Validar aplicabilidad antes de remediar.</x:v>
      </x:c>
      <x:c r="N455" s="17"/>
      <x:c r="O455" s="17"/>
    </x:row>
    <x:row r="456" ht="15" hidden="0" customHeight="1">
      <x:c r="A456" s="7" t="str">
        <x:v>SIAJ-0109</x:v>
      </x:c>
      <x:c r="B456" s="7" t="str">
        <x:v>SAST</x:v>
      </x:c>
      <x:c r="C456" s="7" t="str">
        <x:v>MEDIUM</x:v>
      </x:c>
      <x:c r="D456" s="8" t="str">
        <x:v>Parameter_Tampering 94/196</x:v>
      </x:c>
      <x:c r="E456" s="7" t="str">
        <x:v>Código fuente Java</x:v>
      </x:c>
      <x:c r="F456" s="7" t="str"/>
      <x:c r="G456" s="7" t="str">
        <x:v>CWE-472</x:v>
      </x:c>
      <x:c r="H456" s="7" t="str"/>
      <x:c r="I456" s="7" t="n">
        <x:v>20</x:v>
      </x:c>
      <x:c r="J456" s="9" t="str">
        <x:v>PENDIENTE</x:v>
      </x:c>
      <x:c r="K456" s="10" t="n">
        <x:v>47011</x:v>
      </x:c>
      <x:c r="L456" s="7" t="str">
        <x:v>Avance 2028-09-15</x:v>
      </x:c>
      <x:c r="M456" s="8" t="str">
        <x:v>Validar aplicabilidad antes de remediar.</x:v>
      </x:c>
      <x:c r="N456" s="17"/>
      <x:c r="O456" s="17"/>
    </x:row>
    <x:row r="457" ht="15" hidden="0" customHeight="1">
      <x:c r="A457" s="7" t="str">
        <x:v>SIAJ-0110</x:v>
      </x:c>
      <x:c r="B457" s="7" t="str">
        <x:v>SAST</x:v>
      </x:c>
      <x:c r="C457" s="7" t="str">
        <x:v>MEDIUM</x:v>
      </x:c>
      <x:c r="D457" s="8" t="str">
        <x:v>Parameter_Tampering 95/196</x:v>
      </x:c>
      <x:c r="E457" s="7" t="str">
        <x:v>Código fuente Java</x:v>
      </x:c>
      <x:c r="F457" s="7" t="str"/>
      <x:c r="G457" s="7" t="str">
        <x:v>CWE-472</x:v>
      </x:c>
      <x:c r="H457" s="7" t="str"/>
      <x:c r="I457" s="7" t="n">
        <x:v>20</x:v>
      </x:c>
      <x:c r="J457" s="9" t="str">
        <x:v>PENDIENTE</x:v>
      </x:c>
      <x:c r="K457" s="10" t="n">
        <x:v>47011</x:v>
      </x:c>
      <x:c r="L457" s="7" t="str">
        <x:v>Avance 2028-09-15</x:v>
      </x:c>
      <x:c r="M457" s="8" t="str">
        <x:v>Validar aplicabilidad antes de remediar.</x:v>
      </x:c>
      <x:c r="N457" s="17"/>
      <x:c r="O457" s="17"/>
    </x:row>
    <x:row r="458" ht="15" hidden="0" customHeight="1">
      <x:c r="A458" s="7" t="str">
        <x:v>SIAJ-0111</x:v>
      </x:c>
      <x:c r="B458" s="7" t="str">
        <x:v>SAST</x:v>
      </x:c>
      <x:c r="C458" s="7" t="str">
        <x:v>MEDIUM</x:v>
      </x:c>
      <x:c r="D458" s="8" t="str">
        <x:v>Parameter_Tampering 96/196</x:v>
      </x:c>
      <x:c r="E458" s="7" t="str">
        <x:v>Código fuente Java</x:v>
      </x:c>
      <x:c r="F458" s="7" t="str"/>
      <x:c r="G458" s="7" t="str">
        <x:v>CWE-472</x:v>
      </x:c>
      <x:c r="H458" s="7" t="str"/>
      <x:c r="I458" s="7" t="n">
        <x:v>20</x:v>
      </x:c>
      <x:c r="J458" s="9" t="str">
        <x:v>PENDIENTE</x:v>
      </x:c>
      <x:c r="K458" s="10" t="n">
        <x:v>47011</x:v>
      </x:c>
      <x:c r="L458" s="7" t="str">
        <x:v>Avance 2028-09-15</x:v>
      </x:c>
      <x:c r="M458" s="8" t="str">
        <x:v>Validar aplicabilidad antes de remediar.</x:v>
      </x:c>
      <x:c r="N458" s="17"/>
      <x:c r="O458" s="17"/>
    </x:row>
    <x:row r="459" ht="15" hidden="0" customHeight="1">
      <x:c r="A459" s="7" t="str">
        <x:v>SIAJ-0112</x:v>
      </x:c>
      <x:c r="B459" s="7" t="str">
        <x:v>SAST</x:v>
      </x:c>
      <x:c r="C459" s="7" t="str">
        <x:v>MEDIUM</x:v>
      </x:c>
      <x:c r="D459" s="8" t="str">
        <x:v>Parameter_Tampering 97/196</x:v>
      </x:c>
      <x:c r="E459" s="7" t="str">
        <x:v>Código fuente Java</x:v>
      </x:c>
      <x:c r="F459" s="7" t="str"/>
      <x:c r="G459" s="7" t="str">
        <x:v>CWE-472</x:v>
      </x:c>
      <x:c r="H459" s="7" t="str"/>
      <x:c r="I459" s="7" t="n">
        <x:v>20</x:v>
      </x:c>
      <x:c r="J459" s="9" t="str">
        <x:v>PENDIENTE</x:v>
      </x:c>
      <x:c r="K459" s="10" t="n">
        <x:v>47011</x:v>
      </x:c>
      <x:c r="L459" s="7" t="str">
        <x:v>Avance 2028-09-15</x:v>
      </x:c>
      <x:c r="M459" s="8" t="str">
        <x:v>Validar aplicabilidad antes de remediar.</x:v>
      </x:c>
      <x:c r="N459" s="17"/>
      <x:c r="O459" s="17"/>
    </x:row>
    <x:row r="460" ht="15" hidden="0" customHeight="1">
      <x:c r="A460" s="7" t="str">
        <x:v>SIAJ-0113</x:v>
      </x:c>
      <x:c r="B460" s="7" t="str">
        <x:v>SAST</x:v>
      </x:c>
      <x:c r="C460" s="7" t="str">
        <x:v>MEDIUM</x:v>
      </x:c>
      <x:c r="D460" s="8" t="str">
        <x:v>Parameter_Tampering 98/196</x:v>
      </x:c>
      <x:c r="E460" s="7" t="str">
        <x:v>Código fuente Java</x:v>
      </x:c>
      <x:c r="F460" s="7" t="str"/>
      <x:c r="G460" s="7" t="str">
        <x:v>CWE-472</x:v>
      </x:c>
      <x:c r="H460" s="7" t="str"/>
      <x:c r="I460" s="7" t="n">
        <x:v>20</x:v>
      </x:c>
      <x:c r="J460" s="9" t="str">
        <x:v>PENDIENTE</x:v>
      </x:c>
      <x:c r="K460" s="10" t="n">
        <x:v>47011</x:v>
      </x:c>
      <x:c r="L460" s="7" t="str">
        <x:v>Avance 2028-09-15</x:v>
      </x:c>
      <x:c r="M460" s="8" t="str">
        <x:v>Validar aplicabilidad antes de remediar.</x:v>
      </x:c>
      <x:c r="N460" s="17"/>
      <x:c r="O460" s="17"/>
    </x:row>
    <x:row r="461" ht="15" hidden="0" customHeight="1">
      <x:c r="A461" s="7" t="str">
        <x:v>SIAJ-0114</x:v>
      </x:c>
      <x:c r="B461" s="7" t="str">
        <x:v>SAST</x:v>
      </x:c>
      <x:c r="C461" s="7" t="str">
        <x:v>MEDIUM</x:v>
      </x:c>
      <x:c r="D461" s="8" t="str">
        <x:v>Parameter_Tampering 99/196</x:v>
      </x:c>
      <x:c r="E461" s="7" t="str">
        <x:v>Código fuente Java</x:v>
      </x:c>
      <x:c r="F461" s="7" t="str"/>
      <x:c r="G461" s="7" t="str">
        <x:v>CWE-472</x:v>
      </x:c>
      <x:c r="H461" s="7" t="str"/>
      <x:c r="I461" s="7" t="n">
        <x:v>20</x:v>
      </x:c>
      <x:c r="J461" s="9" t="str">
        <x:v>PENDIENTE</x:v>
      </x:c>
      <x:c r="K461" s="10" t="n">
        <x:v>47011</x:v>
      </x:c>
      <x:c r="L461" s="7" t="str">
        <x:v>Avance 2028-09-15</x:v>
      </x:c>
      <x:c r="M461" s="8" t="str">
        <x:v>Validar aplicabilidad antes de remediar.</x:v>
      </x:c>
      <x:c r="N461" s="17"/>
      <x:c r="O461" s="17"/>
    </x:row>
    <x:row r="462" ht="15" hidden="0" customHeight="1">
      <x:c r="A462" s="7" t="str">
        <x:v>SIAJ-0005</x:v>
      </x:c>
      <x:c r="B462" s="7" t="str">
        <x:v>SAST</x:v>
      </x:c>
      <x:c r="C462" s="7" t="str">
        <x:v>MEDIUM</x:v>
      </x:c>
      <x:c r="D462" s="8" t="str">
        <x:v>Unsafe_Object_Binding 1/11</x:v>
      </x:c>
      <x:c r="E462" s="7" t="str">
        <x:v>Código fuente Java</x:v>
      </x:c>
      <x:c r="F462" s="7" t="str"/>
      <x:c r="G462" s="7" t="str">
        <x:v>CWE-915</x:v>
      </x:c>
      <x:c r="H462" s="7" t="str"/>
      <x:c r="I462" s="7" t="n">
        <x:v>14</x:v>
      </x:c>
      <x:c r="J462" s="9" t="str">
        <x:v>PENDIENTE</x:v>
      </x:c>
      <x:c r="K462" s="10" t="n">
        <x:v>47011</x:v>
      </x:c>
      <x:c r="L462" s="7" t="str">
        <x:v>Avance 2028-09-15</x:v>
      </x:c>
      <x:c r="M462" s="8" t="str">
        <x:v>Validar aplicabilidad antes de remediar.</x:v>
      </x:c>
      <x:c r="N462" s="17"/>
      <x:c r="O462" s="17"/>
    </x:row>
    <x:row r="463" ht="15" hidden="0" customHeight="1">
      <x:c r="A463" s="7" t="str">
        <x:v>SIAJ-0014</x:v>
      </x:c>
      <x:c r="B463" s="7" t="str">
        <x:v>SAST</x:v>
      </x:c>
      <x:c r="C463" s="7" t="str">
        <x:v>MEDIUM</x:v>
      </x:c>
      <x:c r="D463" s="8" t="str">
        <x:v>Unsafe_Object_Binding 10/11</x:v>
      </x:c>
      <x:c r="E463" s="7" t="str">
        <x:v>Código fuente Java</x:v>
      </x:c>
      <x:c r="F463" s="7" t="str"/>
      <x:c r="G463" s="7" t="str">
        <x:v>CWE-915</x:v>
      </x:c>
      <x:c r="H463" s="7" t="str"/>
      <x:c r="I463" s="7" t="n">
        <x:v>14</x:v>
      </x:c>
      <x:c r="J463" s="9" t="str">
        <x:v>PENDIENTE</x:v>
      </x:c>
      <x:c r="K463" s="10" t="n">
        <x:v>47011</x:v>
      </x:c>
      <x:c r="L463" s="7" t="str">
        <x:v>Avance 2028-09-15</x:v>
      </x:c>
      <x:c r="M463" s="8" t="str">
        <x:v>Validar aplicabilidad antes de remediar.</x:v>
      </x:c>
      <x:c r="N463" s="17"/>
      <x:c r="O463" s="17"/>
    </x:row>
    <x:row r="464" ht="15" hidden="0" customHeight="1">
      <x:c r="A464" s="7" t="str">
        <x:v>SIAJ-0015</x:v>
      </x:c>
      <x:c r="B464" s="7" t="str">
        <x:v>SAST</x:v>
      </x:c>
      <x:c r="C464" s="7" t="str">
        <x:v>MEDIUM</x:v>
      </x:c>
      <x:c r="D464" s="8" t="str">
        <x:v>Unsafe_Object_Binding 11/11</x:v>
      </x:c>
      <x:c r="E464" s="7" t="str">
        <x:v>Código fuente Java</x:v>
      </x:c>
      <x:c r="F464" s="7" t="str"/>
      <x:c r="G464" s="7" t="str">
        <x:v>CWE-915</x:v>
      </x:c>
      <x:c r="H464" s="7" t="str"/>
      <x:c r="I464" s="7" t="n">
        <x:v>14</x:v>
      </x:c>
      <x:c r="J464" s="9" t="str">
        <x:v>PENDIENTE</x:v>
      </x:c>
      <x:c r="K464" s="10" t="n">
        <x:v>47041</x:v>
      </x:c>
      <x:c r="L464" s="7" t="str">
        <x:v>Avance 2028-10-15</x:v>
      </x:c>
      <x:c r="M464" s="8" t="str">
        <x:v>Validar aplicabilidad antes de remediar.</x:v>
      </x:c>
      <x:c r="N464" s="17"/>
      <x:c r="O464" s="17"/>
    </x:row>
    <x:row r="465" ht="15" hidden="0" customHeight="1">
      <x:c r="A465" s="7" t="str">
        <x:v>SIAJ-0006</x:v>
      </x:c>
      <x:c r="B465" s="7" t="str">
        <x:v>SAST</x:v>
      </x:c>
      <x:c r="C465" s="7" t="str">
        <x:v>MEDIUM</x:v>
      </x:c>
      <x:c r="D465" s="8" t="str">
        <x:v>Unsafe_Object_Binding 2/11</x:v>
      </x:c>
      <x:c r="E465" s="7" t="str">
        <x:v>Código fuente Java</x:v>
      </x:c>
      <x:c r="F465" s="7" t="str"/>
      <x:c r="G465" s="7" t="str">
        <x:v>CWE-915</x:v>
      </x:c>
      <x:c r="H465" s="7" t="str"/>
      <x:c r="I465" s="7" t="n">
        <x:v>14</x:v>
      </x:c>
      <x:c r="J465" s="9" t="str">
        <x:v>PENDIENTE</x:v>
      </x:c>
      <x:c r="K465" s="10" t="n">
        <x:v>47041</x:v>
      </x:c>
      <x:c r="L465" s="7" t="str">
        <x:v>Avance 2028-10-15</x:v>
      </x:c>
      <x:c r="M465" s="8" t="str">
        <x:v>Validar aplicabilidad antes de remediar.</x:v>
      </x:c>
      <x:c r="N465" s="17"/>
      <x:c r="O465" s="17"/>
    </x:row>
    <x:row r="466" ht="15" hidden="0" customHeight="1">
      <x:c r="A466" s="7" t="str">
        <x:v>SIAJ-0007</x:v>
      </x:c>
      <x:c r="B466" s="7" t="str">
        <x:v>SAST</x:v>
      </x:c>
      <x:c r="C466" s="7" t="str">
        <x:v>MEDIUM</x:v>
      </x:c>
      <x:c r="D466" s="8" t="str">
        <x:v>Unsafe_Object_Binding 3/11</x:v>
      </x:c>
      <x:c r="E466" s="7" t="str">
        <x:v>Código fuente Java</x:v>
      </x:c>
      <x:c r="F466" s="7" t="str"/>
      <x:c r="G466" s="7" t="str">
        <x:v>CWE-915</x:v>
      </x:c>
      <x:c r="H466" s="7" t="str"/>
      <x:c r="I466" s="7" t="n">
        <x:v>14</x:v>
      </x:c>
      <x:c r="J466" s="9" t="str">
        <x:v>PENDIENTE</x:v>
      </x:c>
      <x:c r="K466" s="10" t="n">
        <x:v>47041</x:v>
      </x:c>
      <x:c r="L466" s="7" t="str">
        <x:v>Avance 2028-10-15</x:v>
      </x:c>
      <x:c r="M466" s="8" t="str">
        <x:v>Validar aplicabilidad antes de remediar.</x:v>
      </x:c>
      <x:c r="N466" s="17"/>
      <x:c r="O466" s="17"/>
    </x:row>
    <x:row r="467" ht="15" hidden="0" customHeight="1">
      <x:c r="A467" s="7" t="str">
        <x:v>SIAJ-0008</x:v>
      </x:c>
      <x:c r="B467" s="7" t="str">
        <x:v>SAST</x:v>
      </x:c>
      <x:c r="C467" s="7" t="str">
        <x:v>MEDIUM</x:v>
      </x:c>
      <x:c r="D467" s="8" t="str">
        <x:v>Unsafe_Object_Binding 4/11</x:v>
      </x:c>
      <x:c r="E467" s="7" t="str">
        <x:v>Código fuente Java</x:v>
      </x:c>
      <x:c r="F467" s="7" t="str"/>
      <x:c r="G467" s="7" t="str">
        <x:v>CWE-915</x:v>
      </x:c>
      <x:c r="H467" s="7" t="str"/>
      <x:c r="I467" s="7" t="n">
        <x:v>14</x:v>
      </x:c>
      <x:c r="J467" s="9" t="str">
        <x:v>PENDIENTE</x:v>
      </x:c>
      <x:c r="K467" s="10" t="n">
        <x:v>47041</x:v>
      </x:c>
      <x:c r="L467" s="7" t="str">
        <x:v>Avance 2028-10-15</x:v>
      </x:c>
      <x:c r="M467" s="8" t="str">
        <x:v>Validar aplicabilidad antes de remediar.</x:v>
      </x:c>
      <x:c r="N467" s="17"/>
      <x:c r="O467" s="17"/>
    </x:row>
    <x:row r="468" ht="15" hidden="0" customHeight="1">
      <x:c r="A468" s="7" t="str">
        <x:v>SIAJ-0009</x:v>
      </x:c>
      <x:c r="B468" s="7" t="str">
        <x:v>SAST</x:v>
      </x:c>
      <x:c r="C468" s="7" t="str">
        <x:v>MEDIUM</x:v>
      </x:c>
      <x:c r="D468" s="8" t="str">
        <x:v>Unsafe_Object_Binding 5/11</x:v>
      </x:c>
      <x:c r="E468" s="7" t="str">
        <x:v>Código fuente Java</x:v>
      </x:c>
      <x:c r="F468" s="7" t="str"/>
      <x:c r="G468" s="7" t="str">
        <x:v>CWE-915</x:v>
      </x:c>
      <x:c r="H468" s="7" t="str"/>
      <x:c r="I468" s="7" t="n">
        <x:v>14</x:v>
      </x:c>
      <x:c r="J468" s="9" t="str">
        <x:v>PENDIENTE</x:v>
      </x:c>
      <x:c r="K468" s="10" t="n">
        <x:v>47041</x:v>
      </x:c>
      <x:c r="L468" s="7" t="str">
        <x:v>Avance 2028-10-15</x:v>
      </x:c>
      <x:c r="M468" s="8" t="str">
        <x:v>Validar aplicabilidad antes de remediar.</x:v>
      </x:c>
      <x:c r="N468" s="17"/>
      <x:c r="O468" s="17"/>
    </x:row>
    <x:row r="469" ht="15" hidden="0" customHeight="1">
      <x:c r="A469" s="7" t="str">
        <x:v>SIAJ-0010</x:v>
      </x:c>
      <x:c r="B469" s="7" t="str">
        <x:v>SAST</x:v>
      </x:c>
      <x:c r="C469" s="7" t="str">
        <x:v>MEDIUM</x:v>
      </x:c>
      <x:c r="D469" s="8" t="str">
        <x:v>Unsafe_Object_Binding 6/11</x:v>
      </x:c>
      <x:c r="E469" s="7" t="str">
        <x:v>Código fuente Java</x:v>
      </x:c>
      <x:c r="F469" s="7" t="str"/>
      <x:c r="G469" s="7" t="str">
        <x:v>CWE-915</x:v>
      </x:c>
      <x:c r="H469" s="7" t="str"/>
      <x:c r="I469" s="7" t="n">
        <x:v>14</x:v>
      </x:c>
      <x:c r="J469" s="9" t="str">
        <x:v>PENDIENTE</x:v>
      </x:c>
      <x:c r="K469" s="10" t="n">
        <x:v>47041</x:v>
      </x:c>
      <x:c r="L469" s="7" t="str">
        <x:v>Avance 2028-10-15</x:v>
      </x:c>
      <x:c r="M469" s="8" t="str">
        <x:v>Validar aplicabilidad antes de remediar.</x:v>
      </x:c>
      <x:c r="N469" s="17"/>
      <x:c r="O469" s="17"/>
    </x:row>
    <x:row r="470" ht="15" hidden="0" customHeight="1">
      <x:c r="A470" s="7" t="str">
        <x:v>SIAJ-0011</x:v>
      </x:c>
      <x:c r="B470" s="7" t="str">
        <x:v>SAST</x:v>
      </x:c>
      <x:c r="C470" s="7" t="str">
        <x:v>MEDIUM</x:v>
      </x:c>
      <x:c r="D470" s="8" t="str">
        <x:v>Unsafe_Object_Binding 7/11</x:v>
      </x:c>
      <x:c r="E470" s="7" t="str">
        <x:v>Código fuente Java</x:v>
      </x:c>
      <x:c r="F470" s="7" t="str"/>
      <x:c r="G470" s="7" t="str">
        <x:v>CWE-915</x:v>
      </x:c>
      <x:c r="H470" s="7" t="str"/>
      <x:c r="I470" s="7" t="n">
        <x:v>14</x:v>
      </x:c>
      <x:c r="J470" s="9" t="str">
        <x:v>PENDIENTE</x:v>
      </x:c>
      <x:c r="K470" s="10" t="n">
        <x:v>47041</x:v>
      </x:c>
      <x:c r="L470" s="7" t="str">
        <x:v>Avance 2028-10-15</x:v>
      </x:c>
      <x:c r="M470" s="8" t="str">
        <x:v>Validar aplicabilidad antes de remediar.</x:v>
      </x:c>
      <x:c r="N470" s="17"/>
      <x:c r="O470" s="17"/>
    </x:row>
    <x:row r="471" ht="15" hidden="0" customHeight="1">
      <x:c r="A471" s="7" t="str">
        <x:v>SIAJ-0012</x:v>
      </x:c>
      <x:c r="B471" s="7" t="str">
        <x:v>SAST</x:v>
      </x:c>
      <x:c r="C471" s="7" t="str">
        <x:v>MEDIUM</x:v>
      </x:c>
      <x:c r="D471" s="8" t="str">
        <x:v>Unsafe_Object_Binding 8/11</x:v>
      </x:c>
      <x:c r="E471" s="7" t="str">
        <x:v>Código fuente Java</x:v>
      </x:c>
      <x:c r="F471" s="7" t="str"/>
      <x:c r="G471" s="7" t="str">
        <x:v>CWE-915</x:v>
      </x:c>
      <x:c r="H471" s="7" t="str"/>
      <x:c r="I471" s="7" t="n">
        <x:v>14</x:v>
      </x:c>
      <x:c r="J471" s="9" t="str">
        <x:v>PENDIENTE</x:v>
      </x:c>
      <x:c r="K471" s="10" t="n">
        <x:v>47041</x:v>
      </x:c>
      <x:c r="L471" s="7" t="str">
        <x:v>Avance 2028-10-15</x:v>
      </x:c>
      <x:c r="M471" s="8" t="str">
        <x:v>Validar aplicabilidad antes de remediar.</x:v>
      </x:c>
      <x:c r="N471" s="17"/>
      <x:c r="O471" s="17"/>
    </x:row>
    <x:row r="472" ht="15" hidden="0" customHeight="1">
      <x:c r="A472" s="7" t="str">
        <x:v>SIAJ-0013</x:v>
      </x:c>
      <x:c r="B472" s="7" t="str">
        <x:v>SAST</x:v>
      </x:c>
      <x:c r="C472" s="7" t="str">
        <x:v>MEDIUM</x:v>
      </x:c>
      <x:c r="D472" s="8" t="str">
        <x:v>Unsafe_Object_Binding 9/11</x:v>
      </x:c>
      <x:c r="E472" s="7" t="str">
        <x:v>Código fuente Java</x:v>
      </x:c>
      <x:c r="F472" s="7" t="str"/>
      <x:c r="G472" s="7" t="str">
        <x:v>CWE-915</x:v>
      </x:c>
      <x:c r="H472" s="7" t="str"/>
      <x:c r="I472" s="7" t="n">
        <x:v>14</x:v>
      </x:c>
      <x:c r="J472" s="9" t="str">
        <x:v>PENDIENTE</x:v>
      </x:c>
      <x:c r="K472" s="10" t="n">
        <x:v>47041</x:v>
      </x:c>
      <x:c r="L472" s="7" t="str">
        <x:v>Avance 2028-10-15</x:v>
      </x:c>
      <x:c r="M472" s="8" t="str">
        <x:v>Validar aplicabilidad antes de remediar.</x:v>
      </x:c>
      <x:c r="N472" s="17"/>
      <x:c r="O472" s="17"/>
    </x:row>
    <x:row r="473" ht="39.599998474121094" hidden="0" customHeight="1">
      <x:c r="A473" s="7" t="str">
        <x:v>SIAJ-0224</x:v>
      </x:c>
      <x:c r="B473" s="7" t="str">
        <x:v>SCA</x:v>
      </x:c>
      <x:c r="C473" s="7" t="str">
        <x:v>MEDIUM</x:v>
      </x:c>
      <x:c r="D473" s="8" t="str">
        <x:v>Dependencia com.fasterxml.jackson.core:jackson-databind-2.18.5</x:v>
      </x:c>
      <x:c r="E473" s="7" t="str">
        <x:v>com.fasterxml.jackson.core:jackson-databind</x:v>
      </x:c>
      <x:c r="F473" s="7" t="str">
        <x:v>2.18.5</x:v>
      </x:c>
      <x:c r="G473" s="7" t="str">
        <x:v>CWE-918</x:v>
      </x:c>
      <x:c r="H473" s="7" t="str">
        <x:v>CVE-2026-54514</x:v>
      </x:c>
      <x:c r="I473" s="7" t="n">
        <x:v>119</x:v>
      </x:c>
      <x:c r="J473" s="9" t="str">
        <x:v>PENDIENTE</x:v>
      </x:c>
      <x:c r="K473" s="10" t="n">
        <x:v>47041</x:v>
      </x:c>
      <x:c r="L473" s="7" t="str">
        <x:v>Avance 2028-10-15</x:v>
      </x:c>
      <x:c r="M473" s="8" t="str">
        <x:v>jackson-databind contains the general-purpose data-binding functionality and tree-mod el for Jackson Data Processor. In versions 2.0.0 prior to 2.18.8, 2.19.0 prior to 2.21.4 and 3</x:v>
      </x:c>
      <x:c r="N473" s="17"/>
      <x:c r="O473" s="17"/>
    </x:row>
    <x:row r="474" ht="39.599998474121094" hidden="0" customHeight="1">
      <x:c r="A474" s="7" t="str">
        <x:v>SIAJ-0225</x:v>
      </x:c>
      <x:c r="B474" s="7" t="str">
        <x:v>SCA</x:v>
      </x:c>
      <x:c r="C474" s="7" t="str">
        <x:v>MEDIUM</x:v>
      </x:c>
      <x:c r="D474" s="8" t="str">
        <x:v>Dependencia com.fasterxml.jackson.core:jackson-databind-2.18.5</x:v>
      </x:c>
      <x:c r="E474" s="7" t="str">
        <x:v>com.fasterxml.jackson.core:jackson-databind</x:v>
      </x:c>
      <x:c r="F474" s="7" t="str">
        <x:v>2.18.5</x:v>
      </x:c>
      <x:c r="G474" s="7" t="str">
        <x:v>CWE-915</x:v>
      </x:c>
      <x:c r="H474" s="7" t="str">
        <x:v>CVE-2026-54515</x:v>
      </x:c>
      <x:c r="I474" s="7" t="n">
        <x:v>119</x:v>
      </x:c>
      <x:c r="J474" s="9" t="str">
        <x:v>PENDIENTE</x:v>
      </x:c>
      <x:c r="K474" s="10" t="n">
        <x:v>47041</x:v>
      </x:c>
      <x:c r="L474" s="7" t="str">
        <x:v>Avance 2028-10-15</x:v>
      </x:c>
      <x:c r="M474" s="8" t="str">
        <x:v>jackson-databind contains the general-purpose data-binding functionality and tree-mod el for Jackson Data Processor. From 2.8.0 prior to 2.18.9, 2.19.0 prior to 2.21.5, and 3.1.0 p</x:v>
      </x:c>
      <x:c r="N474" s="17"/>
      <x:c r="O474" s="17"/>
    </x:row>
    <x:row r="475" ht="39.599998474121094" hidden="0" customHeight="1">
      <x:c r="A475" s="7" t="str">
        <x:v>SIAJ-0226</x:v>
      </x:c>
      <x:c r="B475" s="7" t="str">
        <x:v>SCA</x:v>
      </x:c>
      <x:c r="C475" s="7" t="str">
        <x:v>MEDIUM</x:v>
      </x:c>
      <x:c r="D475" s="8" t="str">
        <x:v>Dependencia com.fasterxml.jackson.core:jackson-databind-2.18.5</x:v>
      </x:c>
      <x:c r="E475" s="7" t="str">
        <x:v>com.fasterxml.jackson.core:jackson-databind</x:v>
      </x:c>
      <x:c r="F475" s="7" t="str">
        <x:v>2.18.5</x:v>
      </x:c>
      <x:c r="G475" s="7" t="str">
        <x:v>CWE-915</x:v>
      </x:c>
      <x:c r="H475" s="7" t="str">
        <x:v>CVE-2026-59888</x:v>
      </x:c>
      <x:c r="I475" s="7" t="n">
        <x:v>120</x:v>
      </x:c>
      <x:c r="J475" s="9" t="str">
        <x:v>PENDIENTE</x:v>
      </x:c>
      <x:c r="K475" s="10" t="n">
        <x:v>47041</x:v>
      </x:c>
      <x:c r="L475" s="7" t="str">
        <x:v>Avance 2028-10-15</x:v>
      </x:c>
      <x:c r="M475" s="8" t="str">
        <x:v>jackson-databind contains the general-purpose data-binding functionality and tree-mod el for Jackson Data Processor. From 2.15.0 until 2.18.8, 2.21.4, and 3.1.4, Java Records using</x:v>
      </x:c>
      <x:c r="N475" s="17"/>
      <x:c r="O475" s="17"/>
    </x:row>
    <x:row r="476" ht="39.599998474121094" hidden="0" customHeight="1">
      <x:c r="A476" s="7" t="str">
        <x:v>SIAJ-0227</x:v>
      </x:c>
      <x:c r="B476" s="7" t="str">
        <x:v>SCA</x:v>
      </x:c>
      <x:c r="C476" s="7" t="str">
        <x:v>MEDIUM</x:v>
      </x:c>
      <x:c r="D476" s="8" t="str">
        <x:v>Dependencia com.fasterxml.jackson.core:jackson-databind-2.18.5</x:v>
      </x:c>
      <x:c r="E476" s="7" t="str">
        <x:v>com.fasterxml.jackson.core:jackson-databind</x:v>
      </x:c>
      <x:c r="F476" s="7" t="str">
        <x:v>2.18.5</x:v>
      </x:c>
      <x:c r="G476" s="7" t="str">
        <x:v>CWE-863</x:v>
      </x:c>
      <x:c r="H476" s="7" t="str">
        <x:v>CVE-2026-59889</x:v>
      </x:c>
      <x:c r="I476" s="7" t="n">
        <x:v>120</x:v>
      </x:c>
      <x:c r="J476" s="9" t="str">
        <x:v>PENDIENTE</x:v>
      </x:c>
      <x:c r="K476" s="10" t="n">
        <x:v>47041</x:v>
      </x:c>
      <x:c r="L476" s="7" t="str">
        <x:v>Avance 2028-10-15</x:v>
      </x:c>
      <x:c r="M476" s="8" t="str">
        <x:v>jackson-databind contains the general-purpose data-binding functionality and tree-mod el for Jackson Data Processor. From 2.18.0 until 2.18.9, 2.21.5, 2.22.1, 3.1.5, and 3.2.1, Unw</x:v>
      </x:c>
      <x:c r="N476" s="17"/>
      <x:c r="O476" s="17"/>
    </x:row>
    <x:row r="477" ht="39.599998474121094" hidden="0" customHeight="1">
      <x:c r="A477" s="7" t="str">
        <x:v>SIAJ-0258</x:v>
      </x:c>
      <x:c r="B477" s="7" t="str">
        <x:v>SCA</x:v>
      </x:c>
      <x:c r="C477" s="7" t="str">
        <x:v>MEDIUM</x:v>
      </x:c>
      <x:c r="D477" s="8" t="str">
        <x:v>Dependencia io.netty:netty-codec-4.1.110.Final</x:v>
      </x:c>
      <x:c r="E477" s="7" t="str">
        <x:v>io.netty:netty-codec</x:v>
      </x:c>
      <x:c r="F477" s="7" t="str">
        <x:v>4.1.110.Final</x:v>
      </x:c>
      <x:c r="G477" s="7" t="str">
        <x:v>CWE-409</x:v>
      </x:c>
      <x:c r="H477" s="7" t="str">
        <x:v>CVE-2025-58057</x:v>
      </x:c>
      <x:c r="I477" s="7" t="n">
        <x:v>131</x:v>
      </x:c>
      <x:c r="J477" s="9" t="str">
        <x:v>PENDIENTE</x:v>
      </x:c>
      <x:c r="K477" s="10" t="n">
        <x:v>47041</x:v>
      </x:c>
      <x:c r="L477" s="7" t="str">
        <x:v>Avance 2028-10-15</x:v>
      </x:c>
      <x:c r="M477" s="8" t="str">
        <x:v>Netty is an asynchronous event-driven network application framework for rapid develop ment of maintainable high performance protocol servers &amp; clients. In affected versions, when s</x:v>
      </x:c>
      <x:c r="N477" s="17"/>
      <x:c r="O477" s="17"/>
    </x:row>
    <x:row r="478" ht="39.599998474121094" hidden="0" customHeight="1">
      <x:c r="A478" s="7" t="str">
        <x:v>SIAJ-0336</x:v>
      </x:c>
      <x:c r="B478" s="7" t="str">
        <x:v>SCA</x:v>
      </x:c>
      <x:c r="C478" s="7" t="str">
        <x:v>MEDIUM</x:v>
      </x:c>
      <x:c r="D478" s="8" t="str">
        <x:v>Dependencia io.netty:netty-codec-4.1.93.Final</x:v>
      </x:c>
      <x:c r="E478" s="7" t="str">
        <x:v>io.netty:netty-codec</x:v>
      </x:c>
      <x:c r="F478" s="7" t="str">
        <x:v>4.1.93.Final</x:v>
      </x:c>
      <x:c r="G478" s="7" t="str">
        <x:v>CWE-409</x:v>
      </x:c>
      <x:c r="H478" s="7" t="str">
        <x:v>CVE-2025-58057</x:v>
      </x:c>
      <x:c r="I478" s="7" t="n">
        <x:v>158</x:v>
      </x:c>
      <x:c r="J478" s="9" t="str">
        <x:v>PENDIENTE</x:v>
      </x:c>
      <x:c r="K478" s="10" t="n">
        <x:v>47041</x:v>
      </x:c>
      <x:c r="L478" s="7" t="str">
        <x:v>Avance 2028-10-15</x:v>
      </x:c>
      <x:c r="M478" s="8" t="str">
        <x:v>Netty is an asynchronous event-driven network application framework for rapid develop ment of maintainable high performance protocol servers &amp; clients. In affected versions, when s</x:v>
      </x:c>
      <x:c r="N478" s="17"/>
      <x:c r="O478" s="17"/>
    </x:row>
    <x:row r="479" ht="39.599998474121094" hidden="0" customHeight="1">
      <x:c r="A479" s="7" t="str">
        <x:v>SIAJ-0278</x:v>
      </x:c>
      <x:c r="B479" s="7" t="str">
        <x:v>SCA</x:v>
      </x:c>
      <x:c r="C479" s="7" t="str">
        <x:v>MEDIUM</x:v>
      </x:c>
      <x:c r="D479" s="8" t="str">
        <x:v>Dependencia io.netty:netty-codec-http-4.1.110.Final</x:v>
      </x:c>
      <x:c r="E479" s="7" t="str">
        <x:v>io.netty:netty-codec-http</x:v>
      </x:c>
      <x:c r="F479" s="7" t="str">
        <x:v>4.1.110.Final</x:v>
      </x:c>
      <x:c r="G479" s="7" t="str">
        <x:v>CWE-409</x:v>
      </x:c>
      <x:c r="H479" s="7" t="str">
        <x:v>CVE-2025-58057</x:v>
      </x:c>
      <x:c r="I479" s="7" t="n">
        <x:v>138</x:v>
      </x:c>
      <x:c r="J479" s="9" t="str">
        <x:v>PENDIENTE</x:v>
      </x:c>
      <x:c r="K479" s="10" t="n">
        <x:v>47041</x:v>
      </x:c>
      <x:c r="L479" s="7" t="str">
        <x:v>Avance 2028-10-15</x:v>
      </x:c>
      <x:c r="M479" s="8" t="str">
        <x:v>Netty is an asynchronous event-driven network application framework for rapid develop ment of maintainable high performance protocol servers &amp; clients. In affected versions, when s</x:v>
      </x:c>
      <x:c r="N479" s="17"/>
      <x:c r="O479" s="17"/>
    </x:row>
    <x:row r="480" ht="39.599998474121094" hidden="0" customHeight="1">
      <x:c r="A480" s="7" t="str">
        <x:v>SIAJ-0279</x:v>
      </x:c>
      <x:c r="B480" s="7" t="str">
        <x:v>SCA</x:v>
      </x:c>
      <x:c r="C480" s="7" t="str">
        <x:v>MEDIUM</x:v>
      </x:c>
      <x:c r="D480" s="8" t="str">
        <x:v>Dependencia io.netty:netty-codec-http-4.1.110.Final</x:v>
      </x:c>
      <x:c r="E480" s="7" t="str">
        <x:v>io.netty:netty-codec-http</x:v>
      </x:c>
      <x:c r="F480" s="7" t="str">
        <x:v>4.1.110.Final</x:v>
      </x:c>
      <x:c r="G480" s="7" t="str">
        <x:v>CWE-93</x:v>
      </x:c>
      <x:c r="H480" s="7" t="str">
        <x:v>CVE-2025-67735</x:v>
      </x:c>
      <x:c r="I480" s="7" t="n">
        <x:v>139</x:v>
      </x:c>
      <x:c r="J480" s="9" t="str">
        <x:v>PENDIENTE</x:v>
      </x:c>
      <x:c r="K480" s="10" t="n">
        <x:v>47041</x:v>
      </x:c>
      <x:c r="L480" s="7" t="str">
        <x:v>Avance 2028-10-15</x:v>
      </x:c>
      <x:c r="M480" s="8" t="str">
        <x:v>Netty is an asynchronous, event-driven network application framework. In versions prior t o 4.1.129.Final and 4.2.x prior to 4.2.8.Final, the `io.netty.handler.codec.http.HttpReque</x:v>
      </x:c>
      <x:c r="N480" s="17"/>
      <x:c r="O480" s="17"/>
    </x:row>
    <x:row r="481" ht="39.599998474121094" hidden="0" customHeight="1">
      <x:c r="A481" s="7" t="str">
        <x:v>SIAJ-0292</x:v>
      </x:c>
      <x:c r="B481" s="7" t="str">
        <x:v>SCA</x:v>
      </x:c>
      <x:c r="C481" s="7" t="str">
        <x:v>MEDIUM</x:v>
      </x:c>
      <x:c r="D481" s="8" t="str">
        <x:v>Dependencia io.netty:netty-codec-http-4.1.128.Final</x:v>
      </x:c>
      <x:c r="E481" s="7" t="str">
        <x:v>io.netty:netty-codec-http</x:v>
      </x:c>
      <x:c r="F481" s="7" t="str">
        <x:v>4.1.128.Final</x:v>
      </x:c>
      <x:c r="G481" s="7" t="str">
        <x:v>CWE-93</x:v>
      </x:c>
      <x:c r="H481" s="7" t="str">
        <x:v>CVE-2025-67735</x:v>
      </x:c>
      <x:c r="I481" s="7" t="n">
        <x:v>143</x:v>
      </x:c>
      <x:c r="J481" s="9" t="str">
        <x:v>PENDIENTE</x:v>
      </x:c>
      <x:c r="K481" s="10" t="n">
        <x:v>47041</x:v>
      </x:c>
      <x:c r="L481" s="7" t="str">
        <x:v>Avance 2028-10-15</x:v>
      </x:c>
      <x:c r="M481" s="8" t="str">
        <x:v>Netty is an asynchronous, event-driven network application framework. In versions prior t o 4.1.129.Final and 4.2.x prior to 4.2.8.Final, the `io.netty.handler.codec.http.HttpReque</x:v>
      </x:c>
      <x:c r="N481" s="17"/>
      <x:c r="O481" s="17"/>
    </x:row>
    <x:row r="482" ht="52.79999923706055" hidden="0" customHeight="1">
      <x:c r="A482" s="7" t="str">
        <x:v>SIAJ-0314</x:v>
      </x:c>
      <x:c r="B482" s="7" t="str">
        <x:v>SCA</x:v>
      </x:c>
      <x:c r="C482" s="7" t="str">
        <x:v>MEDIUM</x:v>
      </x:c>
      <x:c r="D482" s="8" t="str">
        <x:v>Dependencia io.netty:netty-codec-http-4.1.93.Final</x:v>
      </x:c>
      <x:c r="E482" s="7" t="str">
        <x:v>io.netty:netty-codec-http</x:v>
      </x:c>
      <x:c r="F482" s="7" t="str">
        <x:v>4.1.93.Final</x:v>
      </x:c>
      <x:c r="G482" s="7" t="str">
        <x:v>CWE-770</x:v>
      </x:c>
      <x:c r="H482" s="7" t="str">
        <x:v>CVE-2024-29025</x:v>
      </x:c>
      <x:c r="I482" s="7" t="n">
        <x:v>151</x:v>
      </x:c>
      <x:c r="J482" s="9" t="str">
        <x:v>PENDIENTE</x:v>
      </x:c>
      <x:c r="K482" s="10" t="n">
        <x:v>47072</x:v>
      </x:c>
      <x:c r="L482" s="7" t="str">
        <x:v>Avance 2028-11-15</x:v>
      </x:c>
      <x:c r="M482" s="8" t="str">
        <x:v>Netty is an asynchronous event-driven network application framework for the rapid devel opment of maintainable high-performance protocol servers &amp; clients. The "HttpPostRequestDeco</x:v>
      </x:c>
      <x:c r="N482" s="17"/>
      <x:c r="O482" s="17"/>
    </x:row>
    <x:row r="483" ht="39.599998474121094" hidden="0" customHeight="1">
      <x:c r="A483" s="7" t="str">
        <x:v>SIAJ-0315</x:v>
      </x:c>
      <x:c r="B483" s="7" t="str">
        <x:v>SCA</x:v>
      </x:c>
      <x:c r="C483" s="7" t="str">
        <x:v>MEDIUM</x:v>
      </x:c>
      <x:c r="D483" s="8" t="str">
        <x:v>Dependencia io.netty:netty-codec-http-4.1.93.Final</x:v>
      </x:c>
      <x:c r="E483" s="7" t="str">
        <x:v>io.netty:netty-codec-http</x:v>
      </x:c>
      <x:c r="F483" s="7" t="str">
        <x:v>4.1.93.Final</x:v>
      </x:c>
      <x:c r="G483" s="7" t="str">
        <x:v>CWE-409</x:v>
      </x:c>
      <x:c r="H483" s="7" t="str">
        <x:v>CVE-2025-58057</x:v>
      </x:c>
      <x:c r="I483" s="7" t="n">
        <x:v>151</x:v>
      </x:c>
      <x:c r="J483" s="9" t="str">
        <x:v>PENDIENTE</x:v>
      </x:c>
      <x:c r="K483" s="10" t="n">
        <x:v>47072</x:v>
      </x:c>
      <x:c r="L483" s="7" t="str">
        <x:v>Avance 2028-11-15</x:v>
      </x:c>
      <x:c r="M483" s="8" t="str">
        <x:v>Netty is an asynchronous event-driven network application framework for rapid develop ment of maintainable high performance protocol servers &amp; clients. In affected versions, when s</x:v>
      </x:c>
      <x:c r="N483" s="17"/>
      <x:c r="O483" s="17"/>
    </x:row>
    <x:row r="484" ht="39.599998474121094" hidden="0" customHeight="1">
      <x:c r="A484" s="7" t="str">
        <x:v>SIAJ-0316</x:v>
      </x:c>
      <x:c r="B484" s="7" t="str">
        <x:v>SCA</x:v>
      </x:c>
      <x:c r="C484" s="7" t="str">
        <x:v>MEDIUM</x:v>
      </x:c>
      <x:c r="D484" s="8" t="str">
        <x:v>Dependencia io.netty:netty-codec-http-4.1.93.Final</x:v>
      </x:c>
      <x:c r="E484" s="7" t="str">
        <x:v>io.netty:netty-codec-http</x:v>
      </x:c>
      <x:c r="F484" s="7" t="str">
        <x:v>4.1.93.Final</x:v>
      </x:c>
      <x:c r="G484" s="7" t="str">
        <x:v>CWE-93</x:v>
      </x:c>
      <x:c r="H484" s="7" t="str">
        <x:v>CVE-2025-67735</x:v>
      </x:c>
      <x:c r="I484" s="7" t="n">
        <x:v>152</x:v>
      </x:c>
      <x:c r="J484" s="9" t="str">
        <x:v>PENDIENTE</x:v>
      </x:c>
      <x:c r="K484" s="10" t="n">
        <x:v>47072</x:v>
      </x:c>
      <x:c r="L484" s="7" t="str">
        <x:v>Avance 2028-11-15</x:v>
      </x:c>
      <x:c r="M484" s="8" t="str">
        <x:v>Netty is an asynchronous, event-driven network application framework. In versions prior t o 4.1.129.Final and 4.2.x prior to 4.2.8.Final, the `io.netty.handler.codec.http.HttpReque</x:v>
      </x:c>
      <x:c r="N484" s="17"/>
      <x:c r="O484" s="17"/>
    </x:row>
    <x:row r="485" ht="39.599998474121094" hidden="0" customHeight="1">
      <x:c r="A485" s="7" t="str">
        <x:v>SIAJ-0326</x:v>
      </x:c>
      <x:c r="B485" s="7" t="str">
        <x:v>SCA</x:v>
      </x:c>
      <x:c r="C485" s="7" t="str">
        <x:v>MEDIUM</x:v>
      </x:c>
      <x:c r="D485" s="8" t="str">
        <x:v>Dependencia io.netty:netty-codec-http2-4.1.110.Final</x:v>
      </x:c>
      <x:c r="E485" s="7" t="str">
        <x:v>io.netty:netty-codec-http2</x:v>
      </x:c>
      <x:c r="F485" s="7" t="str">
        <x:v>4.1.110.Final</x:v>
      </x:c>
      <x:c r="G485" s="7" t="str">
        <x:v>CWE-409</x:v>
      </x:c>
      <x:c r="H485" s="7" t="str">
        <x:v>CVE-2025-58057</x:v>
      </x:c>
      <x:c r="I485" s="7" t="n">
        <x:v>155</x:v>
      </x:c>
      <x:c r="J485" s="9" t="str">
        <x:v>PENDIENTE</x:v>
      </x:c>
      <x:c r="K485" s="10" t="n">
        <x:v>47072</x:v>
      </x:c>
      <x:c r="L485" s="7" t="str">
        <x:v>Avance 2028-11-15</x:v>
      </x:c>
      <x:c r="M485" s="8" t="str">
        <x:v>Netty is an asynchronous event-driven network application framework for rapid develop ment of maintainable high performance protocol servers &amp; clients. In affected versions, when s</x:v>
      </x:c>
      <x:c r="N485" s="17"/>
      <x:c r="O485" s="17"/>
    </x:row>
    <x:row r="486" ht="39.599998474121094" hidden="0" customHeight="1">
      <x:c r="A486" s="7" t="str">
        <x:v>SIAJ-0333</x:v>
      </x:c>
      <x:c r="B486" s="7" t="str">
        <x:v>SCA</x:v>
      </x:c>
      <x:c r="C486" s="7" t="str">
        <x:v>MEDIUM</x:v>
      </x:c>
      <x:c r="D486" s="8" t="str">
        <x:v>Dependencia io.netty:netty-codec-http2-4.1.93.Final</x:v>
      </x:c>
      <x:c r="E486" s="7" t="str">
        <x:v>io.netty:netty-codec-http2</x:v>
      </x:c>
      <x:c r="F486" s="7" t="str">
        <x:v>4.1.93.Final</x:v>
      </x:c>
      <x:c r="G486" s="7" t="str">
        <x:v>CWE-409</x:v>
      </x:c>
      <x:c r="H486" s="7" t="str">
        <x:v>CVE-2025-58057</x:v>
      </x:c>
      <x:c r="I486" s="7" t="n">
        <x:v>157</x:v>
      </x:c>
      <x:c r="J486" s="9" t="str">
        <x:v>PENDIENTE</x:v>
      </x:c>
      <x:c r="K486" s="10" t="n">
        <x:v>47072</x:v>
      </x:c>
      <x:c r="L486" s="7" t="str">
        <x:v>Avance 2028-11-15</x:v>
      </x:c>
      <x:c r="M486" s="8" t="str">
        <x:v>Netty is an asynchronous event-driven network application framework for rapid develop ment of maintainable high performance protocol servers &amp; clients. In affected versions, when s</x:v>
      </x:c>
      <x:c r="N486" s="17"/>
      <x:c r="O486" s="17"/>
    </x:row>
    <x:row r="487" ht="39.599998474121094" hidden="0" customHeight="1">
      <x:c r="A487" s="7" t="str">
        <x:v>SIAJ-0358</x:v>
      </x:c>
      <x:c r="B487" s="7" t="str">
        <x:v>SCA</x:v>
      </x:c>
      <x:c r="C487" s="7" t="str">
        <x:v>MEDIUM</x:v>
      </x:c>
      <x:c r="D487" s="8" t="str">
        <x:v>Dependencia io.netty:netty-common-4.1.110.Final</x:v>
      </x:c>
      <x:c r="E487" s="7" t="str">
        <x:v>io.netty:netty-common</x:v>
      </x:c>
      <x:c r="F487" s="7" t="str">
        <x:v>4.1.110.Final</x:v>
      </x:c>
      <x:c r="G487" s="7" t="str">
        <x:v>CWE-400</x:v>
      </x:c>
      <x:c r="H487" s="7" t="str">
        <x:v>CVE-2024-47535</x:v>
      </x:c>
      <x:c r="I487" s="7" t="n">
        <x:v>167</x:v>
      </x:c>
      <x:c r="J487" s="9" t="str">
        <x:v>PENDIENTE</x:v>
      </x:c>
      <x:c r="K487" s="10" t="n">
        <x:v>47072</x:v>
      </x:c>
      <x:c r="L487" s="7" t="str">
        <x:v>Avance 2028-11-15</x:v>
      </x:c>
      <x:c r="M487" s="8" t="str">
        <x:v>Netty is an asynchronous event-driven network application framework for rapidly develo ping maintainable high-performance protocol servers &amp; clients. An unsafe reading of the envir</x:v>
      </x:c>
      <x:c r="N487" s="17"/>
      <x:c r="O487" s="17"/>
    </x:row>
    <x:row r="488" ht="39.599998474121094" hidden="0" customHeight="1">
      <x:c r="A488" s="7" t="str">
        <x:v>SIAJ-0359</x:v>
      </x:c>
      <x:c r="B488" s="7" t="str">
        <x:v>SCA</x:v>
      </x:c>
      <x:c r="C488" s="7" t="str">
        <x:v>MEDIUM</x:v>
      </x:c>
      <x:c r="D488" s="8" t="str">
        <x:v>Dependencia io.netty:netty-common-4.1.93.Final</x:v>
      </x:c>
      <x:c r="E488" s="7" t="str">
        <x:v>io.netty:netty-common</x:v>
      </x:c>
      <x:c r="F488" s="7" t="str">
        <x:v>4.1.93.Final</x:v>
      </x:c>
      <x:c r="G488" s="7" t="str">
        <x:v>CWE-400</x:v>
      </x:c>
      <x:c r="H488" s="7" t="str">
        <x:v>CVE-2024-47535</x:v>
      </x:c>
      <x:c r="I488" s="7" t="n">
        <x:v>168</x:v>
      </x:c>
      <x:c r="J488" s="9" t="str">
        <x:v>PENDIENTE</x:v>
      </x:c>
      <x:c r="K488" s="10" t="n">
        <x:v>47072</x:v>
      </x:c>
      <x:c r="L488" s="7" t="str">
        <x:v>Avance 2028-11-15</x:v>
      </x:c>
      <x:c r="M488" s="8" t="str">
        <x:v>Netty is an asynchronous event-driven network application framework for rapidly develo ping maintainable high-performance protocol servers &amp; clients. An unsafe reading of the envir</x:v>
      </x:c>
      <x:c r="N488" s="17"/>
      <x:c r="O488" s="17"/>
    </x:row>
    <x:row r="489" ht="39.599998474121094" hidden="0" customHeight="1">
      <x:c r="A489" s="7" t="str">
        <x:v>SIAJ-0348</x:v>
      </x:c>
      <x:c r="B489" s="7" t="str">
        <x:v>SCA</x:v>
      </x:c>
      <x:c r="C489" s="7" t="str">
        <x:v>MEDIUM</x:v>
      </x:c>
      <x:c r="D489" s="8" t="str">
        <x:v>Dependencia io.netty:netty-handler-4.1.93.Final</x:v>
      </x:c>
      <x:c r="E489" s="7" t="str">
        <x:v>io.netty:netty-handler</x:v>
      </x:c>
      <x:c r="F489" s="7" t="str">
        <x:v>4.1.93.Final</x:v>
      </x:c>
      <x:c r="G489" s="7" t="str">
        <x:v>CWE-770</x:v>
      </x:c>
      <x:c r="H489" s="7" t="str">
        <x:v>CVE-2023-34462</x:v>
      </x:c>
      <x:c r="I489" s="7" t="n">
        <x:v>164</x:v>
      </x:c>
      <x:c r="J489" s="9" t="str">
        <x:v>PENDIENTE</x:v>
      </x:c>
      <x:c r="K489" s="10" t="n">
        <x:v>47072</x:v>
      </x:c>
      <x:c r="L489" s="7" t="str">
        <x:v>Avance 2028-11-15</x:v>
      </x:c>
      <x:c r="M489" s="8" t="str">
        <x:v>Netty is an asynchronous event-driven network application framework for rapid develop ment of maintainable high performance protocol servers &amp; clients. In versions through 4.1.93.F</x:v>
      </x:c>
      <x:c r="N489" s="17"/>
      <x:c r="O489" s="17"/>
    </x:row>
    <x:row r="490" ht="39.599998474121094" hidden="0" customHeight="1">
      <x:c r="A490" s="7" t="str">
        <x:v>SIAJ-0362</x:v>
      </x:c>
      <x:c r="B490" s="7" t="str">
        <x:v>SCA</x:v>
      </x:c>
      <x:c r="C490" s="7" t="str">
        <x:v>MEDIUM</x:v>
      </x:c>
      <x:c r="D490" s="8" t="str">
        <x:v>Dependencia org.apache.commons:commons-compress-1.21</x:v>
      </x:c>
      <x:c r="E490" s="7" t="str">
        <x:v>org.apache.commons:commons-compress</x:v>
      </x:c>
      <x:c r="F490" s="7" t="str">
        <x:v>1.21</x:v>
      </x:c>
      <x:c r="G490" s="7" t="str">
        <x:v>CWE-835</x:v>
      </x:c>
      <x:c r="H490" s="7" t="str">
        <x:v>CVE-2024-25710</x:v>
      </x:c>
      <x:c r="I490" s="7" t="n">
        <x:v>170</x:v>
      </x:c>
      <x:c r="J490" s="9" t="str">
        <x:v>PENDIENTE</x:v>
      </x:c>
      <x:c r="K490" s="10" t="n">
        <x:v>47072</x:v>
      </x:c>
      <x:c r="L490" s="7" t="str">
        <x:v>Avance 2028-11-15</x:v>
      </x:c>
      <x:c r="M490" s="8" t="str">
        <x:v>Loop with Unreachable Exit Condition ('Infinite Loop') vulnerability in Apache Commons C ompress. This issue affects Apache Commons Compress 1.3 through 1.25.0.</x:v>
      </x:c>
      <x:c r="N490" s="17"/>
      <x:c r="O490" s="17"/>
    </x:row>
    <x:row r="491" ht="39.599998474121094" hidden="0" customHeight="1">
      <x:c r="A491" s="7" t="str">
        <x:v>SIAJ-0363</x:v>
      </x:c>
      <x:c r="B491" s="7" t="str">
        <x:v>SCA</x:v>
      </x:c>
      <x:c r="C491" s="7" t="str">
        <x:v>MEDIUM</x:v>
      </x:c>
      <x:c r="D491" s="8" t="str">
        <x:v>Dependencia org.apache.commons:commons-compress-1.21</x:v>
      </x:c>
      <x:c r="E491" s="7" t="str">
        <x:v>org.apache.commons:commons-compress</x:v>
      </x:c>
      <x:c r="F491" s="7" t="str">
        <x:v>1.21</x:v>
      </x:c>
      <x:c r="G491" s="7" t="str">
        <x:v>CWE-770</x:v>
      </x:c>
      <x:c r="H491" s="7" t="str">
        <x:v>CVE-2024-26308</x:v>
      </x:c>
      <x:c r="I491" s="7" t="n">
        <x:v>170</x:v>
      </x:c>
      <x:c r="J491" s="9" t="str">
        <x:v>PENDIENTE</x:v>
      </x:c>
      <x:c r="K491" s="10" t="n">
        <x:v>47072</x:v>
      </x:c>
      <x:c r="L491" s="7" t="str">
        <x:v>Avance 2028-11-15</x:v>
      </x:c>
      <x:c r="M491" s="8" t="str">
        <x:v>Allocation of Resources Without Limits or Throttling Vulnerability in Apache Commons Co mpress. This issue affects Apache Commons Compress versions 1.21-RC1 through 1.25.0.</x:v>
      </x:c>
      <x:c r="N491" s="17"/>
      <x:c r="O491" s="17"/>
    </x:row>
    <x:row r="492" ht="39.599998474121094" hidden="0" customHeight="1">
      <x:c r="A492" s="7" t="str">
        <x:v>SIAJ-0360</x:v>
      </x:c>
      <x:c r="B492" s="7" t="str">
        <x:v>SCA</x:v>
      </x:c>
      <x:c r="C492" s="7" t="str">
        <x:v>MEDIUM</x:v>
      </x:c>
      <x:c r="D492" s="8" t="str">
        <x:v>Dependencia org.apache.logging.log4j:log4j-api-2.24.3</x:v>
      </x:c>
      <x:c r="E492" s="7" t="str">
        <x:v>org.apache.logging.log4j:log4j-api</x:v>
      </x:c>
      <x:c r="F492" s="7" t="str">
        <x:v>2.24.3</x:v>
      </x:c>
      <x:c r="G492" s="7" t="str">
        <x:v>CWE-116</x:v>
      </x:c>
      <x:c r="H492" s="7" t="str">
        <x:v>CVE-2026-49844</x:v>
      </x:c>
      <x:c r="I492" s="7" t="n">
        <x:v>168</x:v>
      </x:c>
      <x:c r="J492" s="9" t="str">
        <x:v>PENDIENTE</x:v>
      </x:c>
      <x:c r="K492" s="10" t="n">
        <x:v>47072</x:v>
      </x:c>
      <x:c r="L492" s="7" t="str">
        <x:v>Avance 2028-11-15</x:v>
      </x:c>
      <x:c r="M492" s="8" t="str">
        <x:v>Improper encoding of non-finite floating-point values during MapMessage JSON serializa tion in Apache Log4j API produces output that is not valid JSON. This issue affects Apache Lo</x:v>
      </x:c>
      <x:c r="N492" s="17"/>
      <x:c r="O492" s="17"/>
    </x:row>
    <x:row r="493" ht="39.599998474121094" hidden="0" customHeight="1">
      <x:c r="A493" s="7" t="str">
        <x:v>SIAJ-0361</x:v>
      </x:c>
      <x:c r="B493" s="7" t="str">
        <x:v>SCA</x:v>
      </x:c>
      <x:c r="C493" s="7" t="str">
        <x:v>MEDIUM</x:v>
      </x:c>
      <x:c r="D493" s="8" t="str">
        <x:v>Dependencia org.apache.poi:poi-ooxml-5.2.3</x:v>
      </x:c>
      <x:c r="E493" s="7" t="str">
        <x:v>org.apache.poi:poi-ooxml</x:v>
      </x:c>
      <x:c r="F493" s="7" t="str">
        <x:v>5.2.3</x:v>
      </x:c>
      <x:c r="G493" s="7" t="str">
        <x:v>CWE-20</x:v>
      </x:c>
      <x:c r="H493" s="7" t="str">
        <x:v>CVE-2025-31672</x:v>
      </x:c>
      <x:c r="I493" s="7" t="n">
        <x:v>169</x:v>
      </x:c>
      <x:c r="J493" s="9" t="str">
        <x:v>PENDIENTE</x:v>
      </x:c>
      <x:c r="K493" s="10" t="n">
        <x:v>47072</x:v>
      </x:c>
      <x:c r="L493" s="7" t="str">
        <x:v>Avance 2028-11-15</x:v>
      </x:c>
      <x:c r="M493" s="8" t="str">
        <x:v>Improper Input Validation vulnerability in Apache POI. The issue affects the parsing of OO XML format files like xlsx, docx and pptx. These file formats are basically zip files and</x:v>
      </x:c>
      <x:c r="N493" s="17"/>
      <x:c r="O493" s="17"/>
    </x:row>
    <x:row r="494" ht="39.599998474121094" hidden="0" customHeight="1">
      <x:c r="A494" s="7" t="str">
        <x:v>SIAJ-0234</x:v>
      </x:c>
      <x:c r="B494" s="7" t="str">
        <x:v>SCA</x:v>
      </x:c>
      <x:c r="C494" s="7" t="str">
        <x:v>MEDIUM</x:v>
      </x:c>
      <x:c r="D494" s="8" t="str">
        <x:v>Dependencia org.apache.tomcat.embed:tomcat-embed-core-10.1.49</x:v>
      </x:c>
      <x:c r="E494" s="7" t="str">
        <x:v>org.apache.tomcat.embed:tomcat-embed-core</x:v>
      </x:c>
      <x:c r="F494" s="7" t="str">
        <x:v>10.1.49</x:v>
      </x:c>
      <x:c r="G494" s="7" t="str">
        <x:v>CWE-20</x:v>
      </x:c>
      <x:c r="H494" s="7" t="str">
        <x:v>CVE-2025-66614</x:v>
      </x:c>
      <x:c r="I494" s="7" t="n">
        <x:v>123</x:v>
      </x:c>
      <x:c r="J494" s="9" t="str">
        <x:v>PENDIENTE</x:v>
      </x:c>
      <x:c r="K494" s="10" t="n">
        <x:v>47072</x:v>
      </x:c>
      <x:c r="L494" s="7" t="str">
        <x:v>Avance 2028-11-15</x:v>
      </x:c>
      <x:c r="M494" s="8" t="str">
        <x:v>Improper Input Validation vulnerability. This issue affects Apache Tomcat: from 11.0.0-M1 through 11.0.14, 10.0.0-M1 through 10.1.49, and 8.5.0 through 9.0.112. Older EOL versions</x:v>
      </x:c>
      <x:c r="N494" s="17"/>
      <x:c r="O494" s="17"/>
    </x:row>
    <x:row r="495" ht="39.599998474121094" hidden="0" customHeight="1">
      <x:c r="A495" s="7" t="str">
        <x:v>SIAJ-0235</x:v>
      </x:c>
      <x:c r="B495" s="7" t="str">
        <x:v>SCA</x:v>
      </x:c>
      <x:c r="C495" s="7" t="str">
        <x:v>MEDIUM</x:v>
      </x:c>
      <x:c r="D495" s="8" t="str">
        <x:v>Dependencia org.apache.tomcat.embed:tomcat-embed-core-10.1.49</x:v>
      </x:c>
      <x:c r="E495" s="7" t="str">
        <x:v>org.apache.tomcat.embed:tomcat-embed-core</x:v>
      </x:c>
      <x:c r="F495" s="7" t="str">
        <x:v>10.1.49</x:v>
      </x:c>
      <x:c r="G495" s="7" t="str">
        <x:v>CWE-20</x:v>
      </x:c>
      <x:c r="H495" s="7" t="str">
        <x:v>CVE-2026-24734</x:v>
      </x:c>
      <x:c r="I495" s="7" t="n">
        <x:v>123</x:v>
      </x:c>
      <x:c r="J495" s="9" t="str">
        <x:v>PENDIENTE</x:v>
      </x:c>
      <x:c r="K495" s="10" t="n">
        <x:v>47072</x:v>
      </x:c>
      <x:c r="L495" s="7" t="str">
        <x:v>Avance 2028-11-15</x:v>
      </x:c>
      <x:c r="M495" s="8" t="str">
        <x:v>Improper Input Validation vulnerability in Apache Tomcat Native, Apache Tomcat. When u sing an OCSP responder, Tomcat Native (and Tomcat's FFM port of the Tomcat Native code) did n</x:v>
      </x:c>
      <x:c r="N495" s="17"/>
      <x:c r="O495" s="17"/>
    </x:row>
    <x:row r="496" ht="39.599998474121094" hidden="0" customHeight="1">
      <x:c r="A496" s="7" t="str">
        <x:v>SIAJ-0237</x:v>
      </x:c>
      <x:c r="B496" s="7" t="str">
        <x:v>SCA</x:v>
      </x:c>
      <x:c r="C496" s="7" t="str">
        <x:v>MEDIUM</x:v>
      </x:c>
      <x:c r="D496" s="8" t="str">
        <x:v>Dependencia org.apache.tomcat.embed:tomcat-embed-core-10.1.49</x:v>
      </x:c>
      <x:c r="E496" s="7" t="str">
        <x:v>org.apache.tomcat.embed:tomcat-embed-core</x:v>
      </x:c>
      <x:c r="F496" s="7" t="str">
        <x:v>10.1.49</x:v>
      </x:c>
      <x:c r="G496" s="7" t="str">
        <x:v>CWE-80</x:v>
      </x:c>
      <x:c r="H496" s="7" t="str">
        <x:v>CVE-2026-50229</x:v>
      </x:c>
      <x:c r="I496" s="7" t="n">
        <x:v>124</x:v>
      </x:c>
      <x:c r="J496" s="9" t="str">
        <x:v>PENDIENTE</x:v>
      </x:c>
      <x:c r="K496" s="10" t="n">
        <x:v>47072</x:v>
      </x:c>
      <x:c r="L496" s="7" t="str">
        <x:v>Avance 2028-11-15</x:v>
      </x:c>
      <x:c r="M496" s="8" t="str">
        <x:v>Improper Neutralization of Script-Related HTML Tags in a Web Page (Basic XSS) vulnera bility in the number guess example for Apache Tomcat. This issue affects Apache Tomcat: from 1</x:v>
      </x:c>
      <x:c r="N496" s="17"/>
      <x:c r="O496" s="17"/>
    </x:row>
    <x:row r="497" ht="39.599998474121094" hidden="0" customHeight="1">
      <x:c r="A497" s="7" t="str">
        <x:v>SIAJ-0303</x:v>
      </x:c>
      <x:c r="B497" s="7" t="str">
        <x:v>SCA</x:v>
      </x:c>
      <x:c r="C497" s="7" t="str">
        <x:v>MEDIUM</x:v>
      </x:c>
      <x:c r="D497" s="8" t="str">
        <x:v>Dependencia org.asynchttpclient:async-http-client-2.10.4</x:v>
      </x:c>
      <x:c r="E497" s="7" t="str">
        <x:v>org.asynchttpclient:async-http-client</x:v>
      </x:c>
      <x:c r="F497" s="7" t="str">
        <x:v>2.10.4</x:v>
      </x:c>
      <x:c r="G497" s="7" t="str">
        <x:v>CWE-1275</x:v>
      </x:c>
      <x:c r="H497" s="7" t="str">
        <x:v>CVE-2026-55688</x:v>
      </x:c>
      <x:c r="I497" s="7" t="n">
        <x:v>147</x:v>
      </x:c>
      <x:c r="J497" s="9" t="str">
        <x:v>PENDIENTE</x:v>
      </x:c>
      <x:c r="K497" s="10" t="n">
        <x:v>47072</x:v>
      </x:c>
      <x:c r="L497" s="7" t="str">
        <x:v>Avance 2028-11-15</x:v>
      </x:c>
      <x:c r="M497" s="8" t="str">
        <x:v>The AsyncHttpClient (AHC) library allows Java applications to easily execute HTTP reque sts and asynchronously process HTTP responses. In versions from 2.x prior to 2.16.0 and from</x:v>
      </x:c>
      <x:c r="N497" s="17"/>
      <x:c r="O497" s="17"/>
    </x:row>
    <x:row r="498" ht="39.599998474121094" hidden="0" customHeight="1">
      <x:c r="A498" s="7" t="str">
        <x:v>SIAJ-0245</x:v>
      </x:c>
      <x:c r="B498" s="7" t="str">
        <x:v>SCA</x:v>
      </x:c>
      <x:c r="C498" s="7" t="str">
        <x:v>MEDIUM</x:v>
      </x:c>
      <x:c r="D498" s="8" t="str">
        <x:v>Dependencia org.bouncycastle:bcprov-jdk18on-1.78</x:v>
      </x:c>
      <x:c r="E498" s="7" t="str">
        <x:v>org.bouncycastle:bcprov-jdk18on</x:v>
      </x:c>
      <x:c r="F498" s="7" t="str">
        <x:v>1.78</x:v>
      </x:c>
      <x:c r="G498" s="7" t="str">
        <x:v>CWE-770</x:v>
      </x:c>
      <x:c r="H498" s="7" t="str">
        <x:v>CVE-2025-8916</x:v>
      </x:c>
      <x:c r="I498" s="7" t="n">
        <x:v>127</x:v>
      </x:c>
      <x:c r="J498" s="9" t="str">
        <x:v>PENDIENTE</x:v>
      </x:c>
      <x:c r="K498" s="10" t="n">
        <x:v>47072</x:v>
      </x:c>
      <x:c r="L498" s="7" t="str">
        <x:v>Avance 2028-11-15</x:v>
      </x:c>
      <x:c r="M498" s="8" t="str">
        <x:v>Allocation of Resources Without Limits or Throttling vulnerability in Legion of the Bouncy Castle Inc. Bouncy Castle for Java bcpkix, bcprov, bcpkix-fips on All (API modules) allow</x:v>
      </x:c>
      <x:c r="N498" s="17"/>
      <x:c r="O498" s="17"/>
    </x:row>
    <x:row r="499" ht="39.599998474121094" hidden="0" customHeight="1">
      <x:c r="A499" s="7" t="str">
        <x:v>SIAJ-0246</x:v>
      </x:c>
      <x:c r="B499" s="7" t="str">
        <x:v>SCA</x:v>
      </x:c>
      <x:c r="C499" s="7" t="str">
        <x:v>MEDIUM</x:v>
      </x:c>
      <x:c r="D499" s="8" t="str">
        <x:v>Dependencia org.bouncycastle:bcprov-jdk18on-1.78</x:v>
      </x:c>
      <x:c r="E499" s="7" t="str">
        <x:v>org.bouncycastle:bcprov-jdk18on</x:v>
      </x:c>
      <x:c r="F499" s="7" t="str">
        <x:v>1.78</x:v>
      </x:c>
      <x:c r="G499" s="7" t="str">
        <x:v>CWE-90</x:v>
      </x:c>
      <x:c r="H499" s="7" t="str">
        <x:v>CVE-2026-0636</x:v>
      </x:c>
      <x:c r="I499" s="7" t="n">
        <x:v>127</x:v>
      </x:c>
      <x:c r="J499" s="9" t="str">
        <x:v>PENDIENTE</x:v>
      </x:c>
      <x:c r="K499" s="10" t="n">
        <x:v>47072</x:v>
      </x:c>
      <x:c r="L499" s="7" t="str">
        <x:v>Avance 2028-11-15</x:v>
      </x:c>
      <x:c r="M499" s="8" t="str">
        <x:v>Improper neutralization of special elements used in an LDAP query ('LDAP injection') vuln erability in Legion of the Bouncy Castle Inc. BC-JAVA bcprov on all (prov modules). This v</x:v>
      </x:c>
      <x:c r="N499" s="17"/>
      <x:c r="O499" s="17"/>
    </x:row>
    <x:row r="500" ht="39.599998474121094" hidden="0" customHeight="1">
      <x:c r="A500" s="7" t="str">
        <x:v>SIAJ-0352</x:v>
      </x:c>
      <x:c r="B500" s="7" t="str">
        <x:v>SCA</x:v>
      </x:c>
      <x:c r="C500" s="7" t="str">
        <x:v>MEDIUM</x:v>
      </x:c>
      <x:c r="D500" s="8" t="str">
        <x:v>Dependencia org.springframework:spring-expression-6.2.14</x:v>
      </x:c>
      <x:c r="E500" s="7" t="str">
        <x:v>org.springframework:spring-expression</x:v>
      </x:c>
      <x:c r="F500" s="7" t="str">
        <x:v>6.2.14</x:v>
      </x:c>
      <x:c r="G500" s="7" t="str">
        <x:v>CWE-863</x:v>
      </x:c>
      <x:c r="H500" s="7" t="str">
        <x:v>CVE-2026-41852</x:v>
      </x:c>
      <x:c r="I500" s="7" t="n">
        <x:v>165</x:v>
      </x:c>
      <x:c r="J500" s="9" t="str">
        <x:v>PENDIENTE</x:v>
      </x:c>
      <x:c r="K500" s="10" t="n">
        <x:v>47102</x:v>
      </x:c>
      <x:c r="L500" s="7" t="str">
        <x:v>Avance 2028-12-15</x:v>
      </x:c>
      <x:c r="M500" s="8" t="str">
        <x:v>A vulnerability in Spring Expression Language (SpEL) evaluation logic allows for arbitrary zero-argument method invocation, even within restricted or read-only contexts, which may</x:v>
      </x:c>
      <x:c r="N500" s="17"/>
      <x:c r="O500" s="17"/>
    </x:row>
    <x:row r="501" ht="39.599998474121094" hidden="0" customHeight="1">
      <x:c r="A501" s="7" t="str">
        <x:v>SIAJ-0365</x:v>
      </x:c>
      <x:c r="B501" s="7" t="str">
        <x:v>SCA</x:v>
      </x:c>
      <x:c r="C501" s="7" t="str">
        <x:v>MEDIUM</x:v>
      </x:c>
      <x:c r="D501" s="8" t="str">
        <x:v>Dependencia org.springframework:spring-web-6.2.14</x:v>
      </x:c>
      <x:c r="E501" s="7" t="str">
        <x:v>org.springframework:spring-web</x:v>
      </x:c>
      <x:c r="F501" s="7" t="str">
        <x:v>6.2.14</x:v>
      </x:c>
      <x:c r="G501" s="7" t="str">
        <x:v>CWE-401</x:v>
      </x:c>
      <x:c r="H501" s="7" t="str">
        <x:v>CVE-2026-41840</x:v>
      </x:c>
      <x:c r="I501" s="7" t="n">
        <x:v>170</x:v>
      </x:c>
      <x:c r="J501" s="9" t="str">
        <x:v>PENDIENTE</x:v>
      </x:c>
      <x:c r="K501" s="10" t="n">
        <x:v>47102</x:v>
      </x:c>
      <x:c r="L501" s="7" t="str">
        <x:v>Avance 2028-12-15</x:v>
      </x:c>
      <x:c r="M501" s="8" t="str">
        <x:v>Spring WebFlux applications are vulnerable to Denial of Service (DoS) attacks when proc essing multipart requests. Affected versions: Spring Framework 7.0.0 through 7.0.7, 6.2.0 th</x:v>
      </x:c>
      <x:c r="N501" s="17"/>
      <x:c r="O501" s="17"/>
    </x:row>
    <x:row r="502" ht="52.79999923706055" hidden="0" customHeight="1">
      <x:c r="A502" s="7" t="str">
        <x:v>SIAJ-0366</x:v>
      </x:c>
      <x:c r="B502" s="7" t="str">
        <x:v>SCA</x:v>
      </x:c>
      <x:c r="C502" s="7" t="str">
        <x:v>MEDIUM</x:v>
      </x:c>
      <x:c r="D502" s="8" t="str">
        <x:v>Dependencia org.springframework:spring-web-6.2.14</x:v>
      </x:c>
      <x:c r="E502" s="7" t="str">
        <x:v>org.springframework:spring-web</x:v>
      </x:c>
      <x:c r="F502" s="7" t="str">
        <x:v>6.2.14</x:v>
      </x:c>
      <x:c r="G502" s="7" t="str">
        <x:v>CWE-79</x:v>
      </x:c>
      <x:c r="H502" s="7" t="str">
        <x:v>CVE-2026-41845</x:v>
      </x:c>
      <x:c r="I502" s="7" t="n">
        <x:v>171</x:v>
      </x:c>
      <x:c r="J502" s="9" t="str">
        <x:v>PENDIENTE</x:v>
      </x:c>
      <x:c r="K502" s="10" t="n">
        <x:v>47102</x:v>
      </x:c>
      <x:c r="L502" s="7" t="str">
        <x:v>Avance 2028-12-15</x:v>
      </x:c>
      <x:c r="M502" s="8" t="str">
        <x:v>Due to incorrect escaping, the use of "JavaScriptUtils.javaScriptEscape()" may lead to Ja vaScript code injection in the browser, potentially resulting in a cross-site scripting (X</x:v>
      </x:c>
      <x:c r="N502" s="17"/>
      <x:c r="O502" s="17"/>
    </x:row>
    <x:row r="503" ht="39.599998474121094" hidden="0" customHeight="1">
      <x:c r="A503" s="7" t="str">
        <x:v>SIAJ-0367</x:v>
      </x:c>
      <x:c r="B503" s="7" t="str">
        <x:v>SCA</x:v>
      </x:c>
      <x:c r="C503" s="7" t="str">
        <x:v>MEDIUM</x:v>
      </x:c>
      <x:c r="D503" s="8" t="str">
        <x:v>Dependencia org.springframework:spring-web-6.2.14</x:v>
      </x:c>
      <x:c r="E503" s="7" t="str">
        <x:v>org.springframework:spring-web</x:v>
      </x:c>
      <x:c r="F503" s="7" t="str">
        <x:v>6.2.14</x:v>
      </x:c>
      <x:c r="G503" s="7" t="str">
        <x:v>CWE-444</x:v>
      </x:c>
      <x:c r="H503" s="7" t="str">
        <x:v>CVE-2026-41853</x:v>
      </x:c>
      <x:c r="I503" s="7" t="n">
        <x:v>171</x:v>
      </x:c>
      <x:c r="J503" s="9" t="str">
        <x:v>PENDIENTE</x:v>
      </x:c>
      <x:c r="K503" s="10" t="n">
        <x:v>47102</x:v>
      </x:c>
      <x:c r="L503" s="7" t="str">
        <x:v>Avance 2028-12-15</x:v>
      </x:c>
      <x:c r="M503" s="8" t="str">
        <x:v>Spring MVC and WebFlux applications are vulnerable to Multipart request smuggling atta cks. This issue affects Spring Framework versions from 5.3.0 through 5.3.48, 6.1.0 through 6.</x:v>
      </x:c>
      <x:c r="N503" s="17"/>
      <x:c r="O503" s="17"/>
    </x:row>
    <x:row r="504" ht="39.599998474121094" hidden="0" customHeight="1">
      <x:c r="A504" s="7" t="str">
        <x:v>SIAJ-0368</x:v>
      </x:c>
      <x:c r="B504" s="7" t="str">
        <x:v>SCA</x:v>
      </x:c>
      <x:c r="C504" s="7" t="str">
        <x:v>MEDIUM</x:v>
      </x:c>
      <x:c r="D504" s="8" t="str">
        <x:v>Dependencia org.springframework:spring-web-6.2.14</x:v>
      </x:c>
      <x:c r="E504" s="7" t="str">
        <x:v>org.springframework:spring-web</x:v>
      </x:c>
      <x:c r="F504" s="7" t="str">
        <x:v>6.2.14</x:v>
      </x:c>
      <x:c r="G504" s="7" t="str">
        <x:v>CWE-918</x:v>
      </x:c>
      <x:c r="H504" s="7" t="str">
        <x:v>CVE-2026-41854</x:v>
      </x:c>
      <x:c r="I504" s="7" t="n">
        <x:v>171</x:v>
      </x:c>
      <x:c r="J504" s="9" t="str">
        <x:v>PENDIENTE</x:v>
      </x:c>
      <x:c r="K504" s="10" t="n">
        <x:v>47102</x:v>
      </x:c>
      <x:c r="L504" s="7" t="str">
        <x:v>Avance 2028-12-15</x:v>
      </x:c>
      <x:c r="M504" s="8" t="str">
        <x:v>Due to incorrect host parsing, applications that rely on UriComponentsBuilder to parse an d validate an externally provided URL string may be exposed to a server-side request forge</x:v>
      </x:c>
      <x:c r="N504" s="17"/>
      <x:c r="O504" s="17"/>
    </x:row>
    <x:row r="505" ht="39.599998474121094" hidden="0" customHeight="1">
      <x:c r="A505" s="7" t="str">
        <x:v>SIAJ-0250</x:v>
      </x:c>
      <x:c r="B505" s="7" t="str">
        <x:v>SCA</x:v>
      </x:c>
      <x:c r="C505" s="7" t="str">
        <x:v>MEDIUM</x:v>
      </x:c>
      <x:c r="D505" s="8" t="str">
        <x:v>Dependencia org.springframework:spring-webmvc-6.2.14</x:v>
      </x:c>
      <x:c r="E505" s="7" t="str">
        <x:v>org.springframework:spring-webmvc</x:v>
      </x:c>
      <x:c r="F505" s="7" t="str">
        <x:v>6.2.14</x:v>
      </x:c>
      <x:c r="G505" s="7" t="str">
        <x:v>CWE-400</x:v>
      </x:c>
      <x:c r="H505" s="7" t="str">
        <x:v>CVE-2026-22745</x:v>
      </x:c>
      <x:c r="I505" s="7" t="n">
        <x:v>128</x:v>
      </x:c>
      <x:c r="J505" s="9" t="str">
        <x:v>PENDIENTE</x:v>
      </x:c>
      <x:c r="K505" s="10" t="n">
        <x:v>47102</x:v>
      </x:c>
      <x:c r="L505" s="7" t="str">
        <x:v>Avance 2028-12-15</x:v>
      </x:c>
      <x:c r="M505" s="8" t="str">
        <x:v>Spring MVC and WebFlux applications are vulnerable to Denial-of-Service (DoS) attacks when resolving static resources. More precisely, an application can be vulnerable when all the</x:v>
      </x:c>
      <x:c r="N505" s="17"/>
      <x:c r="O505" s="17"/>
    </x:row>
    <x:row r="506" ht="39.599998474121094" hidden="0" customHeight="1">
      <x:c r="A506" s="7" t="str">
        <x:v>SIAJ-0251</x:v>
      </x:c>
      <x:c r="B506" s="7" t="str">
        <x:v>SCA</x:v>
      </x:c>
      <x:c r="C506" s="7" t="str">
        <x:v>MEDIUM</x:v>
      </x:c>
      <x:c r="D506" s="8" t="str">
        <x:v>Dependencia org.springframework:spring-webmvc-6.2.14</x:v>
      </x:c>
      <x:c r="E506" s="7" t="str">
        <x:v>org.springframework:spring-webmvc</x:v>
      </x:c>
      <x:c r="F506" s="7" t="str">
        <x:v>6.2.14</x:v>
      </x:c>
      <x:c r="G506" s="7" t="str">
        <x:v>CWE-22</x:v>
      </x:c>
      <x:c r="H506" s="7" t="str">
        <x:v>CVE-2026-22737</x:v>
      </x:c>
      <x:c r="I506" s="7" t="n">
        <x:v>129</x:v>
      </x:c>
      <x:c r="J506" s="9" t="str">
        <x:v>PENDIENTE</x:v>
      </x:c>
      <x:c r="K506" s="10" t="n">
        <x:v>47102</x:v>
      </x:c>
      <x:c r="L506" s="7" t="str">
        <x:v>Avance 2028-12-15</x:v>
      </x:c>
      <x:c r="M506" s="8" t="str">
        <x:v>Use of Java scripting engine enabled (e.g. JRuby, Jython) template views in Spring MVC and Spring WebFlux applications can result in disclosure of content from files outside the co</x:v>
      </x:c>
      <x:c r="N506" s="17"/>
      <x:c r="O506" s="17"/>
    </x:row>
    <x:row r="507" ht="39.599998474121094" hidden="0" customHeight="1">
      <x:c r="A507" s="7" t="str">
        <x:v>SIAJ-0252</x:v>
      </x:c>
      <x:c r="B507" s="7" t="str">
        <x:v>SCA</x:v>
      </x:c>
      <x:c r="C507" s="7" t="str">
        <x:v>MEDIUM</x:v>
      </x:c>
      <x:c r="D507" s="8" t="str">
        <x:v>Dependencia org.springframework:spring-webmvc-6.2.14</x:v>
      </x:c>
      <x:c r="E507" s="7" t="str">
        <x:v>org.springframework:spring-webmvc</x:v>
      </x:c>
      <x:c r="F507" s="7" t="str">
        <x:v>6.2.14</x:v>
      </x:c>
      <x:c r="G507" s="7" t="str">
        <x:v>CWE-22</x:v>
      </x:c>
      <x:c r="H507" s="7" t="str">
        <x:v>CVE-2026-41843</x:v>
      </x:c>
      <x:c r="I507" s="7" t="n">
        <x:v>129</x:v>
      </x:c>
      <x:c r="J507" s="9" t="str">
        <x:v>PENDIENTE</x:v>
      </x:c>
      <x:c r="K507" s="10" t="n">
        <x:v>47102</x:v>
      </x:c>
      <x:c r="L507" s="7" t="str">
        <x:v>Avance 2028-12-15</x:v>
      </x:c>
      <x:c r="M507" s="8" t="str">
        <x:v>Spring MVC and WebFlux applications are vulnerable to Path Traversal attacks when reso lving static resources. This issue affects Spring Framework versions from 5.3.0 through 5.3.4</x:v>
      </x:c>
      <x:c r="N507" s="17"/>
      <x:c r="O507" s="17"/>
    </x:row>
    <x:row r="508" ht="39.599998474121094" hidden="0" customHeight="1">
      <x:c r="A508" s="7" t="str">
        <x:v>SIAJ-0253</x:v>
      </x:c>
      <x:c r="B508" s="7" t="str">
        <x:v>SCA</x:v>
      </x:c>
      <x:c r="C508" s="7" t="str">
        <x:v>MEDIUM</x:v>
      </x:c>
      <x:c r="D508" s="8" t="str">
        <x:v>Dependencia org.springframework:spring-webmvc-6.2.14</x:v>
      </x:c>
      <x:c r="E508" s="7" t="str">
        <x:v>org.springframework:spring-webmvc</x:v>
      </x:c>
      <x:c r="F508" s="7" t="str">
        <x:v>6.2.14</x:v>
      </x:c>
      <x:c r="G508" s="7" t="str">
        <x:v>CWE-524</x:v>
      </x:c>
      <x:c r="H508" s="7" t="str">
        <x:v>CVE-2026-41841</x:v>
      </x:c>
      <x:c r="I508" s="7" t="n">
        <x:v>129</x:v>
      </x:c>
      <x:c r="J508" s="9" t="str">
        <x:v>PENDIENTE</x:v>
      </x:c>
      <x:c r="K508" s="10" t="n">
        <x:v>47102</x:v>
      </x:c>
      <x:c r="L508" s="7" t="str">
        <x:v>Avance 2028-12-15</x:v>
      </x:c>
      <x:c r="M508" s="8" t="str">
        <x:v>Spring MVC and WebFlux applications are vulnerable to Information Disclosure attacks w hen resolving static resources. This issue affects Spring Framework versions from 5.3.0 throu</x:v>
      </x:c>
      <x:c r="N508" s="17"/>
      <x:c r="O508" s="17"/>
    </x:row>
    <x:row r="509" ht="39.599998474121094" hidden="0" customHeight="1">
      <x:c r="A509" s="7" t="str">
        <x:v>SIAJ-0254</x:v>
      </x:c>
      <x:c r="B509" s="7" t="str">
        <x:v>SCA</x:v>
      </x:c>
      <x:c r="C509" s="7" t="str">
        <x:v>MEDIUM</x:v>
      </x:c>
      <x:c r="D509" s="8" t="str">
        <x:v>Dependencia org.springframework:spring-webmvc-6.2.14</x:v>
      </x:c>
      <x:c r="E509" s="7" t="str">
        <x:v>org.springframework:spring-webmvc</x:v>
      </x:c>
      <x:c r="F509" s="7" t="str">
        <x:v>6.2.14</x:v>
      </x:c>
      <x:c r="G509" s="7" t="str">
        <x:v>CWE-601</x:v>
      </x:c>
      <x:c r="H509" s="7" t="str">
        <x:v>CVE-2026-41844</x:v>
      </x:c>
      <x:c r="I509" s="7" t="n">
        <x:v>130</x:v>
      </x:c>
      <x:c r="J509" s="9" t="str">
        <x:v>PENDIENTE</x:v>
      </x:c>
      <x:c r="K509" s="10" t="n">
        <x:v>47102</x:v>
      </x:c>
      <x:c r="L509" s="7" t="str">
        <x:v>Avance 2028-12-15</x:v>
      </x:c>
      <x:c r="M509" s="8" t="str">
        <x:v>A Spring MVC or Spring WebFlux application which configures a mapping for "/**" where the view name is not explicitly specified allows an attacker to craft a link resulting in a 30</x:v>
      </x:c>
      <x:c r="N509" s="17"/>
      <x:c r="O509" s="17"/>
    </x:row>
    <x:row r="510" ht="39.599998474121094" hidden="0" customHeight="1">
      <x:c r="A510" s="7" t="str">
        <x:v>SIAJ-0255</x:v>
      </x:c>
      <x:c r="B510" s="7" t="str">
        <x:v>SCA</x:v>
      </x:c>
      <x:c r="C510" s="7" t="str">
        <x:v>MEDIUM</x:v>
      </x:c>
      <x:c r="D510" s="8" t="str">
        <x:v>Dependencia org.springframework:spring-webmvc-6.2.14</x:v>
      </x:c>
      <x:c r="E510" s="7" t="str">
        <x:v>org.springframework:spring-webmvc</x:v>
      </x:c>
      <x:c r="F510" s="7" t="str">
        <x:v>6.2.14</x:v>
      </x:c>
      <x:c r="G510" s="7" t="str">
        <x:v>CWE-79</x:v>
      </x:c>
      <x:c r="H510" s="7" t="str">
        <x:v>CVE-2026-41846</x:v>
      </x:c>
      <x:c r="I510" s="7" t="n">
        <x:v>130</x:v>
      </x:c>
      <x:c r="J510" s="9" t="str">
        <x:v>PENDIENTE</x:v>
      </x:c>
      <x:c r="K510" s="10" t="n">
        <x:v>47102</x:v>
      </x:c>
      <x:c r="L510" s="7" t="str">
        <x:v>Avance 2028-12-15</x:v>
      </x:c>
      <x:c r="M510" s="8" t="str">
        <x:v>Spring MVC applications which accept user-supplied values in the 'cssClass', 'cssErrorCla ss', or 'cssStyle' attributes of JSP form tags allow arbitrary HTML/JavaScript code inject</x:v>
      </x:c>
      <x:c r="N510" s="17"/>
      <x:c r="O510" s="17"/>
    </x:row>
    <x:row r="511" ht="39.599998474121094" hidden="0" customHeight="1">
      <x:c r="A511" s="7" t="str">
        <x:v>SIAJ-0355</x:v>
      </x:c>
      <x:c r="B511" s="7" t="str">
        <x:v>SCA</x:v>
      </x:c>
      <x:c r="C511" s="7" t="str">
        <x:v>MEDIUM</x:v>
      </x:c>
      <x:c r="D511" s="8" t="str">
        <x:v>Dependencia org.springframework.boot:spring-boot-autoconfigure-3.4.12</x:v>
      </x:c>
      <x:c r="E511" s="7" t="str">
        <x:v>org.springframework.boot:spring-boot-autoconfigure</x:v>
      </x:c>
      <x:c r="F511" s="7" t="str">
        <x:v>3.4.12</x:v>
      </x:c>
      <x:c r="G511" s="7" t="str">
        <x:v>CWE-377</x:v>
      </x:c>
      <x:c r="H511" s="7" t="str">
        <x:v>CVE-2026-41001</x:v>
      </x:c>
      <x:c r="I511" s="7" t="n">
        <x:v>166</x:v>
      </x:c>
      <x:c r="J511" s="9" t="str">
        <x:v>PENDIENTE</x:v>
      </x:c>
      <x:c r="K511" s="10" t="n">
        <x:v>47102</x:v>
      </x:c>
      <x:c r="L511" s="7" t="str">
        <x:v>Avance 2028-12-15</x:v>
      </x:c>
      <x:c r="M511" s="8" t="str">
        <x:v>Spring Boot's ArtemisEmbeddedConfigurationFactory uses a fixed, static path for the em bedded Artemis message broker's data directory when no explicit path is configured. A local a</x:v>
      </x:c>
      <x:c r="N511" s="17"/>
      <x:c r="O511" s="17"/>
    </x:row>
    <x:row r="512" ht="39.599998474121094" hidden="0" customHeight="1">
      <x:c r="A512" s="7" t="str">
        <x:v>SIAJ-0356</x:v>
      </x:c>
      <x:c r="B512" s="7" t="str">
        <x:v>SCA</x:v>
      </x:c>
      <x:c r="C512" s="7" t="str">
        <x:v>MEDIUM</x:v>
      </x:c>
      <x:c r="D512" s="8" t="str">
        <x:v>Dependencia org.springframework.boot:spring-boot-autoconfigure-3.4.12</x:v>
      </x:c>
      <x:c r="E512" s="7" t="str">
        <x:v>org.springframework.boot:spring-boot-autoconfigure</x:v>
      </x:c>
      <x:c r="F512" s="7" t="str">
        <x:v>3.4.12</x:v>
      </x:c>
      <x:c r="G512" s="7" t="str">
        <x:v>CWE-295</x:v>
      </x:c>
      <x:c r="H512" s="7" t="str">
        <x:v>CVE-2026-40992</x:v>
      </x:c>
      <x:c r="I512" s="7" t="n">
        <x:v>167</x:v>
      </x:c>
      <x:c r="J512" s="9" t="str">
        <x:v>PENDIENTE</x:v>
      </x:c>
      <x:c r="K512" s="10" t="n">
        <x:v>47102</x:v>
      </x:c>
      <x:c r="L512" s="7" t="str">
        <x:v>Avance 2028-12-15</x:v>
      </x:c>
      <x:c r="M512" s="8" t="str">
        <x:v>Spring Boot's Mail auto-configuration does not enable hostname verification. Application s that set the relevant JavaMail property, such as spring.mail.properties.mail.smtp.ssl.che</x:v>
      </x:c>
      <x:c r="N512" s="17"/>
      <x:c r="O512" s="17"/>
    </x:row>
    <x:row r="513" ht="39.599998474121094" hidden="0" customHeight="1">
      <x:c r="A513" s="7" t="str">
        <x:v>SIAJ-0319</x:v>
      </x:c>
      <x:c r="B513" s="7" t="str">
        <x:v>SCA</x:v>
      </x:c>
      <x:c r="C513" s="7" t="str">
        <x:v>MEDIUM</x:v>
      </x:c>
      <x:c r="D513" s="8" t="str">
        <x:v>Dependencia org.springframework.data:spring-data-commons-3.4.12</x:v>
      </x:c>
      <x:c r="E513" s="7" t="str">
        <x:v>org.springframework.data:spring-data-commons</x:v>
      </x:c>
      <x:c r="F513" s="7" t="str">
        <x:v>3.4.12</x:v>
      </x:c>
      <x:c r="G513" s="7" t="str">
        <x:v>CWE-400</x:v>
      </x:c>
      <x:c r="H513" s="7" t="str">
        <x:v>CVE-2026-41711</x:v>
      </x:c>
      <x:c r="I513" s="7" t="n">
        <x:v>153</x:v>
      </x:c>
      <x:c r="J513" s="9" t="str">
        <x:v>PENDIENTE</x:v>
      </x:c>
      <x:c r="K513" s="10" t="n">
        <x:v>47102</x:v>
      </x:c>
      <x:c r="L513" s="7" t="str">
        <x:v>Avance 2028-12-15</x:v>
      </x:c>
      <x:c r="M513" s="8" t="str">
        <x:v>Applications using Spring Data Commons may be vulnerable to a Denial of Service (DoS) attack leading to a StackOverflowException when parsing Sort parameters. Affected versions: Sp</x:v>
      </x:c>
      <x:c r="N513" s="17"/>
      <x:c r="O513" s="17"/>
    </x:row>
    <x:row r="514" ht="39.599998474121094" hidden="0" customHeight="1">
      <x:c r="A514" s="7" t="str">
        <x:v>SIAJ-0320</x:v>
      </x:c>
      <x:c r="B514" s="7" t="str">
        <x:v>SCA</x:v>
      </x:c>
      <x:c r="C514" s="7" t="str">
        <x:v>MEDIUM</x:v>
      </x:c>
      <x:c r="D514" s="8" t="str">
        <x:v>Dependencia org.springframework.data:spring-data-commons-3.4.12</x:v>
      </x:c>
      <x:c r="E514" s="7" t="str">
        <x:v>org.springframework.data:spring-data-commons</x:v>
      </x:c>
      <x:c r="F514" s="7" t="str">
        <x:v>3.4.12</x:v>
      </x:c>
      <x:c r="G514" s="7" t="str">
        <x:v>CWE-400</x:v>
      </x:c>
      <x:c r="H514" s="7" t="str">
        <x:v>CVE-2026-41721</x:v>
      </x:c>
      <x:c r="I514" s="7" t="n">
        <x:v>153</x:v>
      </x:c>
      <x:c r="J514" s="9" t="str">
        <x:v>PENDIENTE</x:v>
      </x:c>
      <x:c r="K514" s="10" t="n">
        <x:v>47102</x:v>
      </x:c>
      <x:c r="L514" s="7" t="str">
        <x:v>Avance 2028-12-15</x:v>
      </x:c>
      <x:c r="M514" s="8" t="str">
        <x:v>Spring Data Commons contains a vulnerability that can lead to a Denial of Service (DoS) condition if Spring Data Web Support is enabled in conjunction with a Controller method usin</x:v>
      </x:c>
      <x:c r="N514" s="17"/>
      <x:c r="O514" s="17"/>
    </x:row>
    <x:row r="515" ht="39.599998474121094" hidden="0" customHeight="1">
      <x:c r="A515" s="7" t="str">
        <x:v>SIAJ-0364</x:v>
      </x:c>
      <x:c r="B515" s="7" t="str">
        <x:v>SCA</x:v>
      </x:c>
      <x:c r="C515" s="7" t="str">
        <x:v>MEDIUM</x:v>
      </x:c>
      <x:c r="D515" s="8" t="str">
        <x:v>Dependencia org.springframework.security:spring-security-core-6.4.13</x:v>
      </x:c>
      <x:c r="E515" s="7" t="str">
        <x:v>org.springframework.security:spring-security-core</x:v>
      </x:c>
      <x:c r="F515" s="7" t="str">
        <x:v>6.4.13</x:v>
      </x:c>
      <x:c r="G515" s="7" t="str">
        <x:v>CWE-79</x:v>
      </x:c>
      <x:c r="H515" s="7" t="str">
        <x:v>CVE-2026-41003</x:v>
      </x:c>
      <x:c r="I515" s="7" t="n">
        <x:v>170</x:v>
      </x:c>
      <x:c r="J515" s="9" t="str">
        <x:v>PENDIENTE</x:v>
      </x:c>
      <x:c r="K515" s="10" t="n">
        <x:v>47102</x:v>
      </x:c>
      <x:c r="L515" s="7" t="str">
        <x:v>Avance 2028-12-15</x:v>
      </x:c>
      <x:c r="M515" s="8" t="str">
        <x:v>An attacker able to influence values in RelyingPartyRegistration may be able to run arbitr ary code on HTML forms generated by Spring Security filters. Affected versions: Spring Se</x:v>
      </x:c>
      <x:c r="N515" s="17"/>
      <x:c r="O515" s="17"/>
    </x:row>
    <x:row r="516" ht="52.79999923706055" hidden="0" customHeight="1">
      <x:c r="A516" s="7" t="str">
        <x:v>SIAJ-0294</x:v>
      </x:c>
      <x:c r="B516" s="7" t="str">
        <x:v>SCA</x:v>
      </x:c>
      <x:c r="C516" s="7" t="str">
        <x:v>MEDIUM</x:v>
      </x:c>
      <x:c r="D516" s="8" t="str">
        <x:v>Dependencia org.springframework.security:spring-security-web-6.4.13</x:v>
      </x:c>
      <x:c r="E516" s="7" t="str">
        <x:v>org.springframework.security:spring-security-web</x:v>
      </x:c>
      <x:c r="F516" s="7" t="str">
        <x:v>6.4.13</x:v>
      </x:c>
      <x:c r="G516" s="7" t="str">
        <x:v>CWE-601</x:v>
      </x:c>
      <x:c r="H516" s="7" t="str">
        <x:v>CVE-2026-41706</x:v>
      </x:c>
      <x:c r="I516" s="7" t="n">
        <x:v>144</x:v>
      </x:c>
      <x:c r="J516" s="9" t="str">
        <x:v>PENDIENTE</x:v>
      </x:c>
      <x:c r="K516" s="10" t="n">
        <x:v>47102</x:v>
      </x:c>
      <x:c r="L516" s="7" t="str">
        <x:v>Avance 2028-12-15</x:v>
      </x:c>
      <x:c r="M516" s="8" t="str">
        <x:v>Spring Security's CookieRequestCache and CookieServerRequestCache store the pre-au thentication request URL in a browser cookie so that users can be redirected back to their intend</x:v>
      </x:c>
      <x:c r="N516" s="17"/>
      <x:c r="O516" s="17"/>
    </x:row>
    <x:row r="517" ht="15" hidden="0" customHeight="1">
      <x:c r="A517" s="7"/>
      <x:c r="B517" s="7"/>
      <x:c r="C517" s="7"/>
      <x:c r="D517" s="8"/>
      <x:c r="E517" s="7"/>
      <x:c r="F517" s="7"/>
      <x:c r="G517" s="7"/>
      <x:c r="H517" s="7"/>
      <x:c r="I517" s="7"/>
      <x:c r="J517" s="9"/>
      <x:c r="K517" s="10"/>
      <x:c r="L517" s="7"/>
      <x:c r="M517" s="8"/>
      <x:c r="N517" s="17"/>
      <x:c r="O517" s="17"/>
    </x:row>
  </x:sheetData>
  <x:mergeCells>
    <x:mergeCell ref="A2:M2"/>
  </x:mergeCells>
  <x:conditionalFormatting sqref="J5:J516">
    <x:cfRule type="containsText" dxfId="0" priority="1" operator="containsText" text="RESUELTO"/>
    <x:cfRule type="containsText" dxfId="1" priority="2" operator="containsText" text="EN PROCESO"/>
    <x:cfRule type="containsText" dxfId="2" priority="3" operator="containsText" text="PENDIENTE"/>
  </x:conditionalFormatting>
  <x:dataValidations count="1">
    <x:dataValidation type="list" sqref="J5:J516">
      <x:formula1>"RESUELTO,EN PROCESO,PENDIENTE"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34" hidden="0" customWidth="1"/>
    <x:col min="5" max="5" width="38" hidden="0" customWidth="1"/>
    <x:col min="6" max="6" width="14" hidden="0" customWidth="1"/>
    <x:col min="7" max="7" width="18" hidden="0" customWidth="1"/>
    <x:col min="8" max="8" width="18" hidden="0" customWidth="1"/>
    <x:col min="9" max="9" width="10" hidden="0" customWidth="1"/>
    <x:col min="10" max="10" width="14" hidden="0" customWidth="1"/>
    <x:col min="11" max="11" width="16" hidden="0" customWidth="1"/>
    <x:col min="12" max="12" width="20" hidden="0" customWidth="1"/>
    <x:col min="13" max="13" width="52" hidden="0" customWidth="1"/>
    <x:col min="15" max="15" width="16" hidden="0" customWidth="1"/>
  </x:cols>
  <x:sheetData>
    <x:row r="2" ht="15" hidden="0" customHeight="1">
      <x:c r="A2" s="2" t="str">
        <x:v>VULNERABILIDAD CRITICAL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2" t="str">
        <x:v>ESTATUS</x:v>
      </x:c>
    </x:row>
    <x:row r="4" ht="15" hidden="0" customHeight="1">
      <x:c r="A4" s="6" t="str">
        <x:v>ID</x:v>
      </x:c>
      <x:c r="B4" s="6" t="str">
        <x:v>Scanner</x:v>
      </x:c>
      <x:c r="C4" s="6" t="str">
        <x:v>Gravedad</x:v>
      </x:c>
      <x:c r="D4" s="6" t="str">
        <x:v>Vulnerabilidad</x:v>
      </x:c>
      <x:c r="E4" s="6" t="str">
        <x:v>Package Name</x:v>
      </x:c>
      <x:c r="F4" s="6" t="str">
        <x:v>Version</x:v>
      </x:c>
      <x:c r="G4" s="6" t="str">
        <x:v>Categoria</x:v>
      </x:c>
      <x:c r="H4" s="6" t="str">
        <x:v>CVE</x:v>
      </x:c>
      <x:c r="I4" s="6" t="str">
        <x:v>PaginaDF</x:v>
      </x:c>
      <x:c r="J4" s="6" t="str">
        <x:v>ESTADO</x:v>
      </x:c>
      <x:c r="K4" s="6" t="str">
        <x:v>Fecha tentativa</x:v>
      </x:c>
      <x:c r="L4" s="6" t="str">
        <x:v>Entrega</x:v>
      </x:c>
      <x:c r="M4" s="6" t="str">
        <x:v>Observaciones</x:v>
      </x:c>
      <x:c r="N4" s="17"/>
      <x:c r="O4" s="11" t="str">
        <x:v>RESUELTO</x:v>
      </x:c>
    </x:row>
    <x:row r="5" ht="15" hidden="0" customHeight="1">
      <x:c r="A5" s="7" t="str" cm="1">
        <x:f t="array" ref="A5:M43">_xlfn._xlws.FILTER('COMPENDIO'!A5:M516,'COMPENDIO'!C5:C516="CRITICAL","")</x:f>
        <x:v>SIAJ-0469</x:v>
      </x:c>
      <x:c r="B5" s="7" t="str">
        <x:v>CONTAINER</x:v>
      </x:c>
      <x:c r="C5" s="7" t="str">
        <x:v>CRITICAL</x:v>
      </x:c>
      <x:c r="D5" s="8" t="str">
        <x:v>Contenedor glibc-2.41-12+deb13u3</x:v>
      </x:c>
      <x:c r="E5" s="7" t="str">
        <x:v>glibc</x:v>
      </x:c>
      <x:c r="F5" s="7" t="str">
        <x:v>2.41-12+deb13u3</x:v>
      </x:c>
      <x:c r="G5" s="7" t="str">
        <x:v>CWE-122</x:v>
      </x:c>
      <x:c r="H5" s="7" t="str">
        <x:v>CVE-2026-5450</x:v>
      </x:c>
      <x:c r="I5" s="7" t="n">
        <x:v>201</x:v>
      </x:c>
      <x:c r="J5" s="9" t="str">
        <x:v>PENDIENTE</x:v>
      </x:c>
      <x:c r="K5" s="10" t="n">
        <x:v>46280</x:v>
      </x:c>
      <x:c r="L5" s="7" t="str">
        <x:v>Avance 2026-09-15</x:v>
      </x:c>
      <x:c r="M5" s="8" t="str">
        <x:v>Actualizar imagen/base y validar compatibilidad en despliegue.</x:v>
      </x:c>
      <x:c r="N5" s="17"/>
      <x:c r="O5" s="12" t="str">
        <x:v>EN PROCESO</x:v>
      </x:c>
    </x:row>
    <x:row r="6" ht="15" hidden="0" customHeight="1">
      <x:c r="A6" s="7" t="str">
        <x:v>SIAJ-0470</x:v>
      </x:c>
      <x:c r="B6" s="7" t="str">
        <x:v>CONTAINER</x:v>
      </x:c>
      <x:c r="C6" s="7" t="str">
        <x:v>CRITICAL</x:v>
      </x:c>
      <x:c r="D6" s="8" t="str">
        <x:v>Contenedor glibc-2.41-12+deb13u3</x:v>
      </x:c>
      <x:c r="E6" s="7" t="str">
        <x:v>glibc</x:v>
      </x:c>
      <x:c r="F6" s="7" t="str">
        <x:v>2.41-12+deb13u3</x:v>
      </x:c>
      <x:c r="G6" s="7" t="str">
        <x:v>CWE-119</x:v>
      </x:c>
      <x:c r="H6" s="7" t="str">
        <x:v>CVE-2019-1010022</x:v>
      </x:c>
      <x:c r="I6" s="7" t="n">
        <x:v>201</x:v>
      </x:c>
      <x:c r="J6" s="9" t="str">
        <x:v>PENDIENTE</x:v>
      </x:c>
      <x:c r="K6" s="10" t="n">
        <x:v>46280</x:v>
      </x:c>
      <x:c r="L6" s="7" t="str">
        <x:v>Avance 2026-09-15</x:v>
      </x:c>
      <x:c r="M6" s="8" t="str">
        <x:v>Actualizar imagen/base y validar compatibilidad en despliegue.</x:v>
      </x:c>
      <x:c r="N6" s="17"/>
      <x:c r="O6" s="13" t="str">
        <x:v>PENDIENTE</x:v>
      </x:c>
    </x:row>
    <x:row r="7" ht="15" hidden="0" customHeight="1">
      <x:c r="A7" s="7" t="str">
        <x:v>SIAJ-0378</x:v>
      </x:c>
      <x:c r="B7" s="7" t="str">
        <x:v>CONTAINER</x:v>
      </x:c>
      <x:c r="C7" s="7" t="str">
        <x:v>CRITICAL</x:v>
      </x:c>
      <x:c r="D7" s="8" t="str">
        <x:v>Contenedor golang-1.24-1.24.6</x:v>
      </x:c>
      <x:c r="E7" s="7" t="str">
        <x:v>golang-1.24</x:v>
      </x:c>
      <x:c r="F7" s="7" t="str">
        <x:v>1.24.6</x:v>
      </x:c>
      <x:c r="G7" s="7" t="str">
        <x:v>CWE-295</x:v>
      </x:c>
      <x:c r="H7" s="7" t="str">
        <x:v>CVE-2025-68121</x:v>
      </x:c>
      <x:c r="I7" s="7" t="n">
        <x:v>177</x:v>
      </x:c>
      <x:c r="J7" s="9" t="str">
        <x:v>PENDIENTE</x:v>
      </x:c>
      <x:c r="K7" s="10" t="n">
        <x:v>46280</x:v>
      </x:c>
      <x:c r="L7" s="7" t="str">
        <x:v>Avance 2026-09-15</x:v>
      </x:c>
      <x:c r="M7" s="8" t="str">
        <x:v>Actualizar imagen/base y validar compatibilidad en despliegue.</x:v>
      </x:c>
      <x:c r="N7" s="17"/>
      <x:c r="O7" s="17"/>
    </x:row>
    <x:row r="8" ht="15" hidden="0" customHeight="1">
      <x:c r="A8" s="7" t="str">
        <x:v>SIAJ-0379</x:v>
      </x:c>
      <x:c r="B8" s="7" t="str">
        <x:v>CONTAINER</x:v>
      </x:c>
      <x:c r="C8" s="7" t="str">
        <x:v>CRITICAL</x:v>
      </x:c>
      <x:c r="D8" s="8" t="str">
        <x:v>Contenedor golang-1.24-1.24.6</x:v>
      </x:c>
      <x:c r="E8" s="7" t="str">
        <x:v>golang-1.24</x:v>
      </x:c>
      <x:c r="F8" s="7" t="str">
        <x:v>1.24.6</x:v>
      </x:c>
      <x:c r="G8" s="7" t="str">
        <x:v>NVD-CWE-Other</x:v>
      </x:c>
      <x:c r="H8" s="7" t="str">
        <x:v>CVE-2026-27143</x:v>
      </x:c>
      <x:c r="I8" s="7" t="n">
        <x:v>177</x:v>
      </x:c>
      <x:c r="J8" s="9" t="str">
        <x:v>PENDIENTE</x:v>
      </x:c>
      <x:c r="K8" s="10" t="n">
        <x:v>46280</x:v>
      </x:c>
      <x:c r="L8" s="7" t="str">
        <x:v>Avance 2026-09-15</x:v>
      </x:c>
      <x:c r="M8" s="8" t="str">
        <x:v>Actualizar imagen/base y validar compatibilidad en despliegue.</x:v>
      </x:c>
      <x:c r="N8" s="17"/>
      <x:c r="O8" s="17"/>
    </x:row>
    <x:row r="9" ht="15" hidden="0" customHeight="1">
      <x:c r="A9" s="7" t="str">
        <x:v>SIAJ-0438</x:v>
      </x:c>
      <x:c r="B9" s="7" t="str">
        <x:v>CONTAINER</x:v>
      </x:c>
      <x:c r="C9" s="7" t="str">
        <x:v>CRITICAL</x:v>
      </x:c>
      <x:c r="D9" s="8" t="str">
        <x:v>Contenedor openssl-3.5.6-1~deb13u2</x:v>
      </x:c>
      <x:c r="E9" s="7" t="str">
        <x:v>openssl</x:v>
      </x:c>
      <x:c r="F9" s="7" t="str">
        <x:v>3.5.6-1~deb13u2</x:v>
      </x:c>
      <x:c r="G9" s="7" t="str">
        <x:v>CWE-354</x:v>
      </x:c>
      <x:c r="H9" s="7" t="str">
        <x:v>CVE-2026-34182</x:v>
      </x:c>
      <x:c r="I9" s="7" t="n">
        <x:v>193</x:v>
      </x:c>
      <x:c r="J9" s="9" t="str">
        <x:v>PENDIENTE</x:v>
      </x:c>
      <x:c r="K9" s="10" t="n">
        <x:v>46280</x:v>
      </x:c>
      <x:c r="L9" s="7" t="str">
        <x:v>Avance 2026-09-15</x:v>
      </x:c>
      <x:c r="M9" s="8" t="str">
        <x:v>Actualizar imagen/base y validar compatibilidad en despliegue.</x:v>
      </x:c>
      <x:c r="N9" s="17"/>
      <x:c r="O9" s="17"/>
    </x:row>
    <x:row r="10" ht="15" hidden="0" customHeight="1">
      <x:c r="A10" s="7" t="str">
        <x:v>SIAJ-0451</x:v>
      </x:c>
      <x:c r="B10" s="7" t="str">
        <x:v>CONTAINER</x:v>
      </x:c>
      <x:c r="C10" s="7" t="str">
        <x:v>CRITICAL</x:v>
      </x:c>
      <x:c r="D10" s="8" t="str">
        <x:v>Contenedor perl-5.40.1-6</x:v>
      </x:c>
      <x:c r="E10" s="7" t="str">
        <x:v>perl</x:v>
      </x:c>
      <x:c r="F10" s="7" t="str">
        <x:v>5.40.1-6</x:v>
      </x:c>
      <x:c r="G10" s="7" t="str">
        <x:v>CWE-125</x:v>
      </x:c>
      <x:c r="H10" s="7" t="str">
        <x:v>CVE-2026-12087</x:v>
      </x:c>
      <x:c r="I10" s="7" t="n">
        <x:v>196</x:v>
      </x:c>
      <x:c r="J10" s="9" t="str">
        <x:v>PENDIENTE</x:v>
      </x:c>
      <x:c r="K10" s="10" t="n">
        <x:v>46280</x:v>
      </x:c>
      <x:c r="L10" s="7" t="str">
        <x:v>Avance 2026-09-15</x:v>
      </x:c>
      <x:c r="M10" s="8" t="str">
        <x:v>Actualizar imagen/base y validar compatibilidad en despliegue.</x:v>
      </x:c>
      <x:c r="N10" s="17"/>
      <x:c r="O10" s="17"/>
    </x:row>
    <x:row r="11" ht="15" hidden="0" customHeight="1">
      <x:c r="A11" s="7" t="str">
        <x:v>SIAJ-0452</x:v>
      </x:c>
      <x:c r="B11" s="7" t="str">
        <x:v>CONTAINER</x:v>
      </x:c>
      <x:c r="C11" s="7" t="str">
        <x:v>CRITICAL</x:v>
      </x:c>
      <x:c r="D11" s="8" t="str">
        <x:v>Contenedor perl-5.40.1-6</x:v>
      </x:c>
      <x:c r="E11" s="7" t="str">
        <x:v>perl</x:v>
      </x:c>
      <x:c r="F11" s="7" t="str">
        <x:v>5.40.1-6</x:v>
      </x:c>
      <x:c r="G11" s="7" t="str">
        <x:v>CWE-190</x:v>
      </x:c>
      <x:c r="H11" s="7" t="str">
        <x:v>CVE-2026-57433</x:v>
      </x:c>
      <x:c r="I11" s="7" t="n">
        <x:v>196</x:v>
      </x:c>
      <x:c r="J11" s="9" t="str">
        <x:v>PENDIENTE</x:v>
      </x:c>
      <x:c r="K11" s="10" t="n">
        <x:v>46280</x:v>
      </x:c>
      <x:c r="L11" s="7" t="str">
        <x:v>Avance 2026-09-15</x:v>
      </x:c>
      <x:c r="M11" s="8" t="str">
        <x:v>Actualizar imagen/base y validar compatibilidad en despliegue.</x:v>
      </x:c>
      <x:c r="N11" s="17"/>
      <x:c r="O11" s="17"/>
    </x:row>
    <x:row r="12" ht="15" hidden="0" customHeight="1">
      <x:c r="A12" s="7" t="str">
        <x:v>SIAJ-0453</x:v>
      </x:c>
      <x:c r="B12" s="7" t="str">
        <x:v>CONTAINER</x:v>
      </x:c>
      <x:c r="C12" s="7" t="str">
        <x:v>CRITICAL</x:v>
      </x:c>
      <x:c r="D12" s="8" t="str">
        <x:v>Contenedor perl-5.40.1-6</x:v>
      </x:c>
      <x:c r="E12" s="7" t="str">
        <x:v>perl</x:v>
      </x:c>
      <x:c r="F12" s="7" t="str">
        <x:v>5.40.1-6</x:v>
      </x:c>
      <x:c r="G12" s="7" t="str">
        <x:v>CWE-190</x:v>
      </x:c>
      <x:c r="H12" s="7" t="str">
        <x:v>CVE-2026-13221</x:v>
      </x:c>
      <x:c r="I12" s="7" t="n">
        <x:v>197</x:v>
      </x:c>
      <x:c r="J12" s="9" t="str">
        <x:v>PENDIENTE</x:v>
      </x:c>
      <x:c r="K12" s="10" t="n">
        <x:v>46280</x:v>
      </x:c>
      <x:c r="L12" s="7" t="str">
        <x:v>Avance 2026-09-15</x:v>
      </x:c>
      <x:c r="M12" s="8" t="str">
        <x:v>Actualizar imagen/base y validar compatibilidad en despliegue.</x:v>
      </x:c>
      <x:c r="N12" s="17"/>
      <x:c r="O12" s="17"/>
    </x:row>
    <x:row r="13" ht="15" hidden="0" customHeight="1">
      <x:c r="A13" s="7" t="str">
        <x:v>SIAJ-0454</x:v>
      </x:c>
      <x:c r="B13" s="7" t="str">
        <x:v>CONTAINER</x:v>
      </x:c>
      <x:c r="C13" s="7" t="str">
        <x:v>CRITICAL</x:v>
      </x:c>
      <x:c r="D13" s="8" t="str">
        <x:v>Contenedor perl-5.40.1-6</x:v>
      </x:c>
      <x:c r="E13" s="7" t="str">
        <x:v>perl</x:v>
      </x:c>
      <x:c r="F13" s="7" t="str">
        <x:v>5.40.1-6</x:v>
      </x:c>
      <x:c r="G13" s="7" t="str">
        <x:v>CWE-680</x:v>
      </x:c>
      <x:c r="H13" s="7" t="str">
        <x:v>CVE-2026-8376</x:v>
      </x:c>
      <x:c r="I13" s="7" t="n">
        <x:v>197</x:v>
      </x:c>
      <x:c r="J13" s="9" t="str">
        <x:v>PENDIENTE</x:v>
      </x:c>
      <x:c r="K13" s="10" t="n">
        <x:v>46280</x:v>
      </x:c>
      <x:c r="L13" s="7" t="str">
        <x:v>Avance 2026-09-15</x:v>
      </x:c>
      <x:c r="M13" s="8" t="str">
        <x:v>Actualizar imagen/base y validar compatibilidad en despliegue.</x:v>
      </x:c>
      <x:c r="N13" s="17"/>
      <x:c r="O13" s="17"/>
    </x:row>
    <x:row r="14" ht="15" hidden="0" customHeight="1">
      <x:c r="A14" s="7" t="str">
        <x:v>SIAJ-0455</x:v>
      </x:c>
      <x:c r="B14" s="7" t="str">
        <x:v>CONTAINER</x:v>
      </x:c>
      <x:c r="C14" s="7" t="str">
        <x:v>CRITICAL</x:v>
      </x:c>
      <x:c r="D14" s="8" t="str">
        <x:v>Contenedor perl-5.40.1-6</x:v>
      </x:c>
      <x:c r="E14" s="7" t="str">
        <x:v>perl</x:v>
      </x:c>
      <x:c r="F14" s="7" t="str">
        <x:v>5.40.1-6</x:v>
      </x:c>
      <x:c r="G14" s="7" t="str">
        <x:v>CWE-59</x:v>
      </x:c>
      <x:c r="H14" s="7" t="str">
        <x:v>CVE-2026-42496</x:v>
      </x:c>
      <x:c r="I14" s="7" t="n">
        <x:v>197</x:v>
      </x:c>
      <x:c r="J14" s="9" t="str">
        <x:v>PENDIENTE</x:v>
      </x:c>
      <x:c r="K14" s="10" t="n">
        <x:v>46280</x:v>
      </x:c>
      <x:c r="L14" s="7" t="str">
        <x:v>Avance 2026-09-15</x:v>
      </x:c>
      <x:c r="M14" s="8" t="str">
        <x:v>Actualizar imagen/base y validar compatibilidad en despliegue.</x:v>
      </x:c>
      <x:c r="N14" s="17"/>
      <x:c r="O14" s="17"/>
    </x:row>
    <x:row r="15" ht="15" hidden="0" customHeight="1">
      <x:c r="A15" s="7" t="str">
        <x:v>SIAJ-0427</x:v>
      </x:c>
      <x:c r="B15" s="7" t="str">
        <x:v>CONTAINER</x:v>
      </x:c>
      <x:c r="C15" s="7" t="str">
        <x:v>CRITICAL</x:v>
      </x:c>
      <x:c r="D15" s="8" t="str">
        <x:v>Contenedor tar-1.35+dfsg-3.1</x:v>
      </x:c>
      <x:c r="E15" s="7" t="str">
        <x:v>tar</x:v>
      </x:c>
      <x:c r="F15" s="7" t="str">
        <x:v>1.35+dfsg-3.1</x:v>
      </x:c>
      <x:c r="G15" s="7" t="str">
        <x:v>NVD-CWE-Other</x:v>
      </x:c>
      <x:c r="H15" s="7" t="str">
        <x:v>CVE-2005-2541</x:v>
      </x:c>
      <x:c r="I15" s="7" t="n">
        <x:v>190</x:v>
      </x:c>
      <x:c r="J15" s="9" t="str">
        <x:v>PENDIENTE</x:v>
      </x:c>
      <x:c r="K15" s="10" t="n">
        <x:v>46280</x:v>
      </x:c>
      <x:c r="L15" s="7" t="str">
        <x:v>Avance 2026-09-15</x:v>
      </x:c>
      <x:c r="M15" s="8" t="str">
        <x:v>Actualizar imagen/base y validar compatibilidad en despliegue.</x:v>
      </x:c>
      <x:c r="N15" s="17"/>
      <x:c r="O15" s="17"/>
    </x:row>
    <x:row r="16" ht="39.599998474121094" hidden="0" customHeight="1">
      <x:c r="A16" s="7" t="str">
        <x:v>SIAJ-0374</x:v>
      </x:c>
      <x:c r="B16" s="7" t="str">
        <x:v>SCA</x:v>
      </x:c>
      <x:c r="C16" s="7" t="str">
        <x:v>CRITICAL</x:v>
      </x:c>
      <x:c r="D16" s="8" t="str">
        <x:v>Dependencia io.netty:netty-codec-dns-4.1.128.Final</x:v>
      </x:c>
      <x:c r="E16" s="7" t="str">
        <x:v>io.netty:netty-codec-dns</x:v>
      </x:c>
      <x:c r="F16" s="7" t="str">
        <x:v>4.1.128.Final</x:v>
      </x:c>
      <x:c r="G16" s="7" t="str">
        <x:v>CWE-20</x:v>
      </x:c>
      <x:c r="H16" s="7" t="str">
        <x:v>CVE-2026-42579</x:v>
      </x:c>
      <x:c r="I16" s="7" t="n">
        <x:v>173</x:v>
      </x:c>
      <x:c r="J16" s="9" t="str">
        <x:v>PENDIENTE</x:v>
      </x:c>
      <x:c r="K16" s="10" t="n">
        <x:v>46280</x:v>
      </x:c>
      <x:c r="L16" s="7" t="str">
        <x:v>Avance 2026-09-15</x:v>
      </x:c>
      <x:c r="M16" s="8" t="str">
        <x:v>Netty's DNS codec does not enforce RFC 1035 domain name constraints during either en coding or decoding. This creates a bidirectional attack surface: malicious DNS responses can ex</x:v>
      </x:c>
      <x:c r="N16" s="17"/>
      <x:c r="O16" s="17"/>
    </x:row>
    <x:row r="17" ht="39.599998474121094" hidden="0" customHeight="1">
      <x:c r="A17" s="7" t="str">
        <x:v>SIAJ-0272</x:v>
      </x:c>
      <x:c r="B17" s="7" t="str">
        <x:v>SCA</x:v>
      </x:c>
      <x:c r="C17" s="7" t="str">
        <x:v>CRITICAL</x:v>
      </x:c>
      <x:c r="D17" s="8" t="str">
        <x:v>Dependencia io.netty:netty-codec-http-4.1.110.Final</x:v>
      </x:c>
      <x:c r="E17" s="7" t="str">
        <x:v>io.netty:netty-codec-http</x:v>
      </x:c>
      <x:c r="F17" s="7" t="str">
        <x:v>4.1.110.Final</x:v>
      </x:c>
      <x:c r="G17" s="7" t="str">
        <x:v>CWE-444</x:v>
      </x:c>
      <x:c r="H17" s="7" t="str">
        <x:v>CVE-2026-42584</x:v>
      </x:c>
      <x:c r="I17" s="7" t="n">
        <x:v>137</x:v>
      </x:c>
      <x:c r="J17" s="9" t="str">
        <x:v>PENDIENTE</x:v>
      </x:c>
      <x:c r="K17" s="10" t="n">
        <x:v>46280</x:v>
      </x:c>
      <x:c r="L17" s="7" t="str">
        <x:v>Avance 2026-09-15</x:v>
      </x:c>
      <x:c r="M17" s="8" t="str">
        <x:v>Netty is an asynchronous, event-driven network application framework. Prior to 4.1.133.Fi nal and 4.2.x prior to 4.2.13.Final and 5.0.0.Alpha1 and 5.0.0.Alpha2, HttpClientCodec pai</x:v>
      </x:c>
      <x:c r="N17" s="17"/>
      <x:c r="O17" s="17"/>
    </x:row>
    <x:row r="18" ht="39.599998474121094" hidden="0" customHeight="1">
      <x:c r="A18" s="7" t="str">
        <x:v>SIAJ-0273</x:v>
      </x:c>
      <x:c r="B18" s="7" t="str">
        <x:v>SCA</x:v>
      </x:c>
      <x:c r="C18" s="7" t="str">
        <x:v>CRITICAL</x:v>
      </x:c>
      <x:c r="D18" s="8" t="str">
        <x:v>Dependencia io.netty:netty-codec-http-4.1.110.Final</x:v>
      </x:c>
      <x:c r="E18" s="7" t="str">
        <x:v>io.netty:netty-codec-http</x:v>
      </x:c>
      <x:c r="F18" s="7" t="str">
        <x:v>4.1.110.Final</x:v>
      </x:c>
      <x:c r="G18" s="7" t="str">
        <x:v>CWE-444</x:v>
      </x:c>
      <x:c r="H18" s="7" t="str">
        <x:v>CVE-2026-42581</x:v>
      </x:c>
      <x:c r="I18" s="7" t="n">
        <x:v>137</x:v>
      </x:c>
      <x:c r="J18" s="9" t="str">
        <x:v>PENDIENTE</x:v>
      </x:c>
      <x:c r="K18" s="10" t="n">
        <x:v>46280</x:v>
      </x:c>
      <x:c r="L18" s="7" t="str">
        <x:v>Avance 2026-09-15</x:v>
      </x:c>
      <x:c r="M18" s="8" t="str">
        <x:v>Netty is an asynchronous, event-driven network application framework. In versions prior t o 4.1.133.Final and 4.2.x prior to 4.2.13.Final, `HttpObjectDecoder` strips a conflicting</x:v>
      </x:c>
      <x:c r="N18" s="17"/>
      <x:c r="O18" s="17"/>
    </x:row>
    <x:row r="19" ht="39.599998474121094" hidden="0" customHeight="1">
      <x:c r="A19" s="7" t="str">
        <x:v>SIAJ-0286</x:v>
      </x:c>
      <x:c r="B19" s="7" t="str">
        <x:v>SCA</x:v>
      </x:c>
      <x:c r="C19" s="7" t="str">
        <x:v>CRITICAL</x:v>
      </x:c>
      <x:c r="D19" s="8" t="str">
        <x:v>Dependencia io.netty:netty-codec-http-4.1.128.Final</x:v>
      </x:c>
      <x:c r="E19" s="7" t="str">
        <x:v>io.netty:netty-codec-http</x:v>
      </x:c>
      <x:c r="F19" s="7" t="str">
        <x:v>4.1.128.Final</x:v>
      </x:c>
      <x:c r="G19" s="7" t="str">
        <x:v>CWE-444</x:v>
      </x:c>
      <x:c r="H19" s="7" t="str">
        <x:v>CVE-2026-42581</x:v>
      </x:c>
      <x:c r="I19" s="7" t="n">
        <x:v>141</x:v>
      </x:c>
      <x:c r="J19" s="9" t="str">
        <x:v>PENDIENTE</x:v>
      </x:c>
      <x:c r="K19" s="10" t="n">
        <x:v>46280</x:v>
      </x:c>
      <x:c r="L19" s="7" t="str">
        <x:v>Avance 2026-09-15</x:v>
      </x:c>
      <x:c r="M19" s="8" t="str">
        <x:v>Netty is an asynchronous, event-driven network application framework. In versions prior t o 4.1.133.Final and 4.2.x prior to 4.2.13.Final, `HttpObjectDecoder` strips a conflicting</x:v>
      </x:c>
      <x:c r="N19" s="17"/>
      <x:c r="O19" s="17"/>
    </x:row>
    <x:row r="20" ht="39.599998474121094" hidden="0" customHeight="1">
      <x:c r="A20" s="7" t="str">
        <x:v>SIAJ-0287</x:v>
      </x:c>
      <x:c r="B20" s="7" t="str">
        <x:v>SCA</x:v>
      </x:c>
      <x:c r="C20" s="7" t="str">
        <x:v>CRITICAL</x:v>
      </x:c>
      <x:c r="D20" s="8" t="str">
        <x:v>Dependencia io.netty:netty-codec-http-4.1.128.Final</x:v>
      </x:c>
      <x:c r="E20" s="7" t="str">
        <x:v>io.netty:netty-codec-http</x:v>
      </x:c>
      <x:c r="F20" s="7" t="str">
        <x:v>4.1.128.Final</x:v>
      </x:c>
      <x:c r="G20" s="7" t="str">
        <x:v>CWE-444</x:v>
      </x:c>
      <x:c r="H20" s="7" t="str">
        <x:v>CVE-2026-42584</x:v>
      </x:c>
      <x:c r="I20" s="7" t="n">
        <x:v>141</x:v>
      </x:c>
      <x:c r="J20" s="9" t="str">
        <x:v>PENDIENTE</x:v>
      </x:c>
      <x:c r="K20" s="10" t="n">
        <x:v>46280</x:v>
      </x:c>
      <x:c r="L20" s="7" t="str">
        <x:v>Avance 2026-09-15</x:v>
      </x:c>
      <x:c r="M20" s="8" t="str">
        <x:v>Netty is an asynchronous, event-driven network application framework. Prior to 4.1.133.Fi nal and 4.2.x prior to 4.2.13.Final and 5.0.0.Alpha1 and 5.0.0.Alpha2, HttpClientCodec pai</x:v>
      </x:c>
      <x:c r="N20" s="17"/>
      <x:c r="O20" s="17"/>
    </x:row>
    <x:row r="21" ht="39.599998474121094" hidden="0" customHeight="1">
      <x:c r="A21" s="7" t="str">
        <x:v>SIAJ-0308</x:v>
      </x:c>
      <x:c r="B21" s="7" t="str">
        <x:v>SCA</x:v>
      </x:c>
      <x:c r="C21" s="7" t="str">
        <x:v>CRITICAL</x:v>
      </x:c>
      <x:c r="D21" s="8" t="str">
        <x:v>Dependencia io.netty:netty-codec-http-4.1.93.Final</x:v>
      </x:c>
      <x:c r="E21" s="7" t="str">
        <x:v>io.netty:netty-codec-http</x:v>
      </x:c>
      <x:c r="F21" s="7" t="str">
        <x:v>4.1.93.Final</x:v>
      </x:c>
      <x:c r="G21" s="7" t="str">
        <x:v>CWE-444</x:v>
      </x:c>
      <x:c r="H21" s="7" t="str">
        <x:v>CVE-2026-42584</x:v>
      </x:c>
      <x:c r="I21" s="7" t="n">
        <x:v>149</x:v>
      </x:c>
      <x:c r="J21" s="9" t="str">
        <x:v>PENDIENTE</x:v>
      </x:c>
      <x:c r="K21" s="10" t="n">
        <x:v>46280</x:v>
      </x:c>
      <x:c r="L21" s="7" t="str">
        <x:v>Avance 2026-09-15</x:v>
      </x:c>
      <x:c r="M21" s="8" t="str">
        <x:v>Netty is an asynchronous, event-driven network application framework. Prior to 4.1.133.Fi nal and 4.2.x prior to 4.2.13.Final and 5.0.0.Alpha1 and 5.0.0.Alpha2, HttpClientCodec pai</x:v>
      </x:c>
      <x:c r="N21" s="17"/>
      <x:c r="O21" s="17"/>
    </x:row>
    <x:row r="22" ht="39.599998474121094" hidden="0" customHeight="1">
      <x:c r="A22" s="7" t="str">
        <x:v>SIAJ-0309</x:v>
      </x:c>
      <x:c r="B22" s="7" t="str">
        <x:v>SCA</x:v>
      </x:c>
      <x:c r="C22" s="7" t="str">
        <x:v>CRITICAL</x:v>
      </x:c>
      <x:c r="D22" s="8" t="str">
        <x:v>Dependencia io.netty:netty-codec-http-4.1.93.Final</x:v>
      </x:c>
      <x:c r="E22" s="7" t="str">
        <x:v>io.netty:netty-codec-http</x:v>
      </x:c>
      <x:c r="F22" s="7" t="str">
        <x:v>4.1.93.Final</x:v>
      </x:c>
      <x:c r="G22" s="7" t="str">
        <x:v>CWE-444</x:v>
      </x:c>
      <x:c r="H22" s="7" t="str">
        <x:v>CVE-2026-42581</x:v>
      </x:c>
      <x:c r="I22" s="7" t="n">
        <x:v>149</x:v>
      </x:c>
      <x:c r="J22" s="9" t="str">
        <x:v>PENDIENTE</x:v>
      </x:c>
      <x:c r="K22" s="10" t="n">
        <x:v>46280</x:v>
      </x:c>
      <x:c r="L22" s="7" t="str">
        <x:v>Avance 2026-09-15</x:v>
      </x:c>
      <x:c r="M22" s="8" t="str">
        <x:v>Netty is an asynchronous, event-driven network application framework. In versions prior t o 4.1.133.Final and 4.2.x prior to 4.2.13.Final, `HttpObjectDecoder` strips a conflicting</x:v>
      </x:c>
      <x:c r="N22" s="17"/>
      <x:c r="O22" s="17"/>
    </x:row>
    <x:row r="23" ht="39.599998474121094" hidden="0" customHeight="1">
      <x:c r="A23" s="7" t="str">
        <x:v>SIAJ-0340</x:v>
      </x:c>
      <x:c r="B23" s="7" t="str">
        <x:v>SCA</x:v>
      </x:c>
      <x:c r="C23" s="7" t="str">
        <x:v>CRITICAL</x:v>
      </x:c>
      <x:c r="D23" s="8" t="str">
        <x:v>Dependencia io.netty:netty-handler-4.1.110.Final</x:v>
      </x:c>
      <x:c r="E23" s="7" t="str">
        <x:v>io.netty:netty-handler</x:v>
      </x:c>
      <x:c r="F23" s="7" t="str">
        <x:v>4.1.110.Final</x:v>
      </x:c>
      <x:c r="G23" s="7" t="str">
        <x:v>CWE-284</x:v>
      </x:c>
      <x:c r="H23" s="7" t="str">
        <x:v>CVE-2026-44249</x:v>
      </x:c>
      <x:c r="I23" s="7" t="n">
        <x:v>161</x:v>
      </x:c>
      <x:c r="J23" s="9" t="str">
        <x:v>PENDIENTE</x:v>
      </x:c>
      <x:c r="K23" s="10" t="n">
        <x:v>46310</x:v>
      </x:c>
      <x:c r="L23" s="7" t="str">
        <x:v>Avance 2026-10-15</x:v>
      </x:c>
      <x:c r="M23" s="8" t="str">
        <x:v>Netty is a network application framework for development of protocol servers and client s. In netty-handler versions through 4.1.134.Final, 4.2.x through 4.2.14.Final and 5.x throu</x:v>
      </x:c>
      <x:c r="N23" s="17"/>
      <x:c r="O23" s="17"/>
    </x:row>
    <x:row r="24" ht="39.599998474121094" hidden="0" customHeight="1">
      <x:c r="A24" s="7" t="str">
        <x:v>SIAJ-0345</x:v>
      </x:c>
      <x:c r="B24" s="7" t="str">
        <x:v>SCA</x:v>
      </x:c>
      <x:c r="C24" s="7" t="str">
        <x:v>CRITICAL</x:v>
      </x:c>
      <x:c r="D24" s="8" t="str">
        <x:v>Dependencia io.netty:netty-handler-4.1.128.Final</x:v>
      </x:c>
      <x:c r="E24" s="7" t="str">
        <x:v>io.netty:netty-handler</x:v>
      </x:c>
      <x:c r="F24" s="7" t="str">
        <x:v>4.1.128.Final</x:v>
      </x:c>
      <x:c r="G24" s="7" t="str">
        <x:v>CWE-284</x:v>
      </x:c>
      <x:c r="H24" s="7" t="str">
        <x:v>CVE-2026-44249</x:v>
      </x:c>
      <x:c r="I24" s="7" t="n">
        <x:v>163</x:v>
      </x:c>
      <x:c r="J24" s="9" t="str">
        <x:v>PENDIENTE</x:v>
      </x:c>
      <x:c r="K24" s="10" t="n">
        <x:v>46310</x:v>
      </x:c>
      <x:c r="L24" s="7" t="str">
        <x:v>Avance 2026-10-15</x:v>
      </x:c>
      <x:c r="M24" s="8" t="str">
        <x:v>Netty is a network application framework for development of protocol servers and client s. In netty-handler versions through 4.1.134.Final, 4.2.x through 4.2.14.Final and 5.x throu</x:v>
      </x:c>
      <x:c r="N24" s="17"/>
      <x:c r="O24" s="17"/>
    </x:row>
    <x:row r="25" ht="39.599998474121094" hidden="0" customHeight="1">
      <x:c r="A25" s="7" t="str">
        <x:v>SIAJ-0350</x:v>
      </x:c>
      <x:c r="B25" s="7" t="str">
        <x:v>SCA</x:v>
      </x:c>
      <x:c r="C25" s="7" t="str">
        <x:v>CRITICAL</x:v>
      </x:c>
      <x:c r="D25" s="8" t="str">
        <x:v>Dependencia io.netty:netty-handler-4.1.93.Final</x:v>
      </x:c>
      <x:c r="E25" s="7" t="str">
        <x:v>io.netty:netty-handler</x:v>
      </x:c>
      <x:c r="F25" s="7" t="str">
        <x:v>4.1.93.Final</x:v>
      </x:c>
      <x:c r="G25" s="7" t="str">
        <x:v>CWE-284</x:v>
      </x:c>
      <x:c r="H25" s="7" t="str">
        <x:v>CVE-2026-44249</x:v>
      </x:c>
      <x:c r="I25" s="7" t="n">
        <x:v>165</x:v>
      </x:c>
      <x:c r="J25" s="9" t="str">
        <x:v>PENDIENTE</x:v>
      </x:c>
      <x:c r="K25" s="10" t="n">
        <x:v>46310</x:v>
      </x:c>
      <x:c r="L25" s="7" t="str">
        <x:v>Avance 2026-10-15</x:v>
      </x:c>
      <x:c r="M25" s="8" t="str">
        <x:v>Netty is a network application framework for development of protocol servers and client s. In netty-handler versions through 4.1.134.Final, 4.2.x through 4.2.14.Final and 5.x throu</x:v>
      </x:c>
      <x:c r="N25" s="17"/>
      <x:c r="O25" s="17"/>
    </x:row>
    <x:row r="26" ht="39.599998474121094" hidden="0" customHeight="1">
      <x:c r="A26" s="7" t="str">
        <x:v>SIAJ-0372</x:v>
      </x:c>
      <x:c r="B26" s="7" t="str">
        <x:v>SCA</x:v>
      </x:c>
      <x:c r="C26" s="7" t="str">
        <x:v>CRITICAL</x:v>
      </x:c>
      <x:c r="D26" s="8" t="str">
        <x:v>Dependencia io.netty:netty-resolver-dns-4.1.128.Final</x:v>
      </x:c>
      <x:c r="E26" s="7" t="str">
        <x:v>io.netty:netty-resolver-dns</x:v>
      </x:c>
      <x:c r="F26" s="7" t="str">
        <x:v>4.1.128.Final</x:v>
      </x:c>
      <x:c r="G26" s="7" t="str">
        <x:v>CWE-345</x:v>
      </x:c>
      <x:c r="H26" s="7" t="str">
        <x:v>CVE-2026-47691</x:v>
      </x:c>
      <x:c r="I26" s="7" t="n">
        <x:v>173</x:v>
      </x:c>
      <x:c r="J26" s="9" t="str">
        <x:v>PENDIENTE</x:v>
      </x:c>
      <x:c r="K26" s="10" t="n">
        <x:v>46310</x:v>
      </x:c>
      <x:c r="L26" s="7" t="str">
        <x:v>Avance 2026-10-15</x:v>
      </x:c>
      <x:c r="M26" s="8" t="str">
        <x:v>Netty's `DnsResolveContext` insufficiently validates the bailiwick of NS records, enablin g DNS Cache Poisoning. An attacker controlling an authoritative name server for a subdomai</x:v>
      </x:c>
      <x:c r="N26" s="17"/>
      <x:c r="O26" s="17"/>
    </x:row>
    <x:row r="27" ht="39.599998474121094" hidden="0" customHeight="1">
      <x:c r="A27" s="7" t="str">
        <x:v>SIAJ-0373</x:v>
      </x:c>
      <x:c r="B27" s="7" t="str">
        <x:v>SCA</x:v>
      </x:c>
      <x:c r="C27" s="7" t="str">
        <x:v>CRITICAL</x:v>
      </x:c>
      <x:c r="D27" s="8" t="str">
        <x:v>Dependencia io.netty:netty-resolver-dns-4.1.128.Final</x:v>
      </x:c>
      <x:c r="E27" s="7" t="str">
        <x:v>io.netty:netty-resolver-dns</x:v>
      </x:c>
      <x:c r="F27" s="7" t="str">
        <x:v>4.1.128.Final</x:v>
      </x:c>
      <x:c r="G27" s="7" t="str">
        <x:v>CWE-345</x:v>
      </x:c>
      <x:c r="H27" s="7" t="str">
        <x:v>CVE-2026-45674</x:v>
      </x:c>
      <x:c r="I27" s="7" t="n">
        <x:v>173</x:v>
      </x:c>
      <x:c r="J27" s="9" t="str">
        <x:v>PENDIENTE</x:v>
      </x:c>
      <x:c r="K27" s="10" t="n">
        <x:v>46310</x:v>
      </x:c>
      <x:c r="L27" s="7" t="str">
        <x:v>Avance 2026-10-15</x:v>
      </x:c>
      <x:c r="M27" s="8" t="str">
        <x:v>Netty's DnsResolveContext fails to validate the origin (bailiwick) of CNAME records in DN S responses. Issue has been patched in 4.2.15.Final, 4.1.135.Final.</x:v>
      </x:c>
      <x:c r="N27" s="17"/>
      <x:c r="O27" s="17"/>
    </x:row>
    <x:row r="28" ht="39.599998474121094" hidden="0" customHeight="1">
      <x:c r="A28" s="7" t="str">
        <x:v>SIAJ-0236</x:v>
      </x:c>
      <x:c r="B28" s="7" t="str">
        <x:v>SCA</x:v>
      </x:c>
      <x:c r="C28" s="7" t="str">
        <x:v>CRITICAL</x:v>
      </x:c>
      <x:c r="D28" s="8" t="str">
        <x:v>Dependencia org.apache.tomcat.embed:tomcat-embed-core-10.1.49</x:v>
      </x:c>
      <x:c r="E28" s="7" t="str">
        <x:v>org.apache.tomcat.embed:tomcat-embed-core</x:v>
      </x:c>
      <x:c r="F28" s="7" t="str">
        <x:v>10.1.49</x:v>
      </x:c>
      <x:c r="G28" s="7" t="str">
        <x:v>CWE-20</x:v>
      </x:c>
      <x:c r="H28" s="7" t="str">
        <x:v>CVE-2026-41293</x:v>
      </x:c>
      <x:c r="I28" s="7" t="n">
        <x:v>123</x:v>
      </x:c>
      <x:c r="J28" s="9" t="str">
        <x:v>PENDIENTE</x:v>
      </x:c>
      <x:c r="K28" s="10" t="n">
        <x:v>46310</x:v>
      </x:c>
      <x:c r="L28" s="7" t="str">
        <x:v>Avance 2026-10-15</x:v>
      </x:c>
      <x:c r="M28" s="8" t="str">
        <x:v>Improper Input Validation vulnerability in Apache Tomcat. This issue affects Apache Tomc at: from 11.0.0-M1 through 11.0.21, from 10.1.0-M1 through 10.1.54, from 9.0.0.M1 through 9</x:v>
      </x:c>
      <x:c r="N28" s="17"/>
      <x:c r="O28" s="17"/>
    </x:row>
    <x:row r="29" ht="39.599998474121094" hidden="0" customHeight="1">
      <x:c r="A29" s="7" t="str">
        <x:v>SIAJ-0238</x:v>
      </x:c>
      <x:c r="B29" s="7" t="str">
        <x:v>SCA</x:v>
      </x:c>
      <x:c r="C29" s="7" t="str">
        <x:v>CRITICAL</x:v>
      </x:c>
      <x:c r="D29" s="8" t="str">
        <x:v>Dependencia org.apache.tomcat.embed:tomcat-embed-core-10.1.49</x:v>
      </x:c>
      <x:c r="E29" s="7" t="str">
        <x:v>org.apache.tomcat.embed:tomcat-embed-core</x:v>
      </x:c>
      <x:c r="F29" s="7" t="str">
        <x:v>10.1.49</x:v>
      </x:c>
      <x:c r="G29" s="7" t="str">
        <x:v>CWE-285</x:v>
      </x:c>
      <x:c r="H29" s="7" t="str">
        <x:v>CVE-2026-43515</x:v>
      </x:c>
      <x:c r="I29" s="7" t="n">
        <x:v>124</x:v>
      </x:c>
      <x:c r="J29" s="9" t="str">
        <x:v>PENDIENTE</x:v>
      </x:c>
      <x:c r="K29" s="10" t="n">
        <x:v>46310</x:v>
      </x:c>
      <x:c r="L29" s="7" t="str">
        <x:v>Avance 2026-10-15</x:v>
      </x:c>
      <x:c r="M29" s="8" t="str">
        <x:v>Improper Authorization vulnerability when multiple method constraints define an HTTP m ethod for the same extension in Apache Tomcat. This issue affects Apache Tomcat: from 11.0.0-</x:v>
      </x:c>
      <x:c r="N29" s="17"/>
      <x:c r="O29" s="17"/>
    </x:row>
    <x:row r="30" ht="39.599998474121094" hidden="0" customHeight="1">
      <x:c r="A30" s="7" t="str">
        <x:v>SIAJ-0239</x:v>
      </x:c>
      <x:c r="B30" s="7" t="str">
        <x:v>SCA</x:v>
      </x:c>
      <x:c r="C30" s="7" t="str">
        <x:v>CRITICAL</x:v>
      </x:c>
      <x:c r="D30" s="8" t="str">
        <x:v>Dependencia org.apache.tomcat.embed:tomcat-embed-core-10.1.49</x:v>
      </x:c>
      <x:c r="E30" s="7" t="str">
        <x:v>org.apache.tomcat.embed:tomcat-embed-core</x:v>
      </x:c>
      <x:c r="F30" s="7" t="str">
        <x:v>10.1.49</x:v>
      </x:c>
      <x:c r="G30" s="7" t="str">
        <x:v>CWE-592</x:v>
      </x:c>
      <x:c r="H30" s="7" t="str">
        <x:v>CVE-2026-43512</x:v>
      </x:c>
      <x:c r="I30" s="7" t="n">
        <x:v>124</x:v>
      </x:c>
      <x:c r="J30" s="9" t="str">
        <x:v>PENDIENTE</x:v>
      </x:c>
      <x:c r="K30" s="10" t="n">
        <x:v>46310</x:v>
      </x:c>
      <x:c r="L30" s="7" t="str">
        <x:v>Avance 2026-10-15</x:v>
      </x:c>
      <x:c r="M30" s="8" t="str">
        <x:v>DEPRECATED: Authentication Bypass Issues vulnerability in digest authentication in Apac he Tomcat. This issue affects Apache Tomcat: from 11.0.0-M1 through 11.0.21, from 10.1.0-M1</x:v>
      </x:c>
      <x:c r="N30" s="17"/>
      <x:c r="O30" s="17"/>
    </x:row>
    <x:row r="31" ht="39.599998474121094" hidden="0" customHeight="1">
      <x:c r="A31" s="7" t="str">
        <x:v>SIAJ-0240</x:v>
      </x:c>
      <x:c r="B31" s="7" t="str">
        <x:v>SCA</x:v>
      </x:c>
      <x:c r="C31" s="7" t="str">
        <x:v>CRITICAL</x:v>
      </x:c>
      <x:c r="D31" s="8" t="str">
        <x:v>Dependencia org.apache.tomcat.embed:tomcat-embed-core-10.1.49</x:v>
      </x:c>
      <x:c r="E31" s="7" t="str">
        <x:v>org.apache.tomcat.embed:tomcat-embed-core</x:v>
      </x:c>
      <x:c r="F31" s="7" t="str">
        <x:v>10.1.49</x:v>
      </x:c>
      <x:c r="G31" s="7" t="str">
        <x:v>CWE-287</x:v>
      </x:c>
      <x:c r="H31" s="7" t="str">
        <x:v>CVE-2026-29145</x:v>
      </x:c>
      <x:c r="I31" s="7" t="n">
        <x:v>125</x:v>
      </x:c>
      <x:c r="J31" s="9" t="str">
        <x:v>PENDIENTE</x:v>
      </x:c>
      <x:c r="K31" s="10" t="n">
        <x:v>46310</x:v>
      </x:c>
      <x:c r="L31" s="7" t="str">
        <x:v>Avance 2026-10-15</x:v>
      </x:c>
      <x:c r="M31" s="8" t="str">
        <x:v>CLIENT_CERT authentication does not fail as expected for some scenarios when soft fail i s disabled vulnerability in Apache Tomcat, Apache Tomcat Native. This issue affects Apache</x:v>
      </x:c>
      <x:c r="N31" s="17"/>
      <x:c r="O31" s="17"/>
    </x:row>
    <x:row r="32" ht="39.599998474121094" hidden="0" customHeight="1">
      <x:c r="A32" s="7" t="str">
        <x:v>SIAJ-0241</x:v>
      </x:c>
      <x:c r="B32" s="7" t="str">
        <x:v>SCA</x:v>
      </x:c>
      <x:c r="C32" s="7" t="str">
        <x:v>CRITICAL</x:v>
      </x:c>
      <x:c r="D32" s="8" t="str">
        <x:v>Dependencia org.apache.tomcat.embed:tomcat-embed-core-10.1.49</x:v>
      </x:c>
      <x:c r="E32" s="7" t="str">
        <x:v>org.apache.tomcat.embed:tomcat-embed-core</x:v>
      </x:c>
      <x:c r="F32" s="7" t="str">
        <x:v>10.1.49</x:v>
      </x:c>
      <x:c r="G32" s="7" t="str">
        <x:v>CWE-670</x:v>
      </x:c>
      <x:c r="H32" s="7" t="str">
        <x:v>CVE-2026-55276</x:v>
      </x:c>
      <x:c r="I32" s="7" t="n">
        <x:v>125</x:v>
      </x:c>
      <x:c r="J32" s="9" t="str">
        <x:v>PENDIENTE</x:v>
      </x:c>
      <x:c r="K32" s="10" t="n">
        <x:v>46310</x:v>
      </x:c>
      <x:c r="L32" s="7" t="str">
        <x:v>Avance 2026-10-15</x:v>
      </x:c>
      <x:c r="M32" s="8" t="str">
        <x:v>Always-Incorrect Control Flow Implementation vulnerability in Apache Tomcat meant that special roles and empty authorisation constraints were not included when the effective web.xm</x:v>
      </x:c>
      <x:c r="N32" s="17"/>
      <x:c r="O32" s="17"/>
    </x:row>
    <x:row r="33" ht="39.599998474121094" hidden="0" customHeight="1">
      <x:c r="A33" s="7" t="str">
        <x:v>SIAJ-0242</x:v>
      </x:c>
      <x:c r="B33" s="7" t="str">
        <x:v>SCA</x:v>
      </x:c>
      <x:c r="C33" s="7" t="str">
        <x:v>CRITICAL</x:v>
      </x:c>
      <x:c r="D33" s="8" t="str">
        <x:v>Dependencia org.apache.tomcat.embed:tomcat-embed-core-10.1.49</x:v>
      </x:c>
      <x:c r="E33" s="7" t="str">
        <x:v>org.apache.tomcat.embed:tomcat-embed-core</x:v>
      </x:c>
      <x:c r="F33" s="7" t="str">
        <x:v>10.1.49</x:v>
      </x:c>
      <x:c r="G33" s="7" t="str">
        <x:v>CWE-390</x:v>
      </x:c>
      <x:c r="H33" s="7" t="str">
        <x:v>CVE-2026-53434</x:v>
      </x:c>
      <x:c r="I33" s="7" t="n">
        <x:v>125</x:v>
      </x:c>
      <x:c r="J33" s="9" t="str">
        <x:v>PENDIENTE</x:v>
      </x:c>
      <x:c r="K33" s="10" t="n">
        <x:v>46310</x:v>
      </x:c>
      <x:c r="L33" s="7" t="str">
        <x:v>Avance 2026-10-15</x:v>
      </x:c>
      <x:c r="M33" s="8" t="str">
        <x:v>Detection of Error Condition Without Action vulnerability in Apache Tomcat when configu ring CRLs for a FFM based connector. This issue affects Apache Tomcat: from 11.0.0-M1 throug</x:v>
      </x:c>
      <x:c r="N33" s="17"/>
      <x:c r="O33" s="17"/>
    </x:row>
    <x:row r="34" ht="39.599998474121094" hidden="0" customHeight="1">
      <x:c r="A34" s="7" t="str">
        <x:v>SIAJ-0304</x:v>
      </x:c>
      <x:c r="B34" s="7" t="str">
        <x:v>SCA</x:v>
      </x:c>
      <x:c r="C34" s="7" t="str">
        <x:v>CRITICAL</x:v>
      </x:c>
      <x:c r="D34" s="8" t="str">
        <x:v>Dependencia org.asynchttpclient:async-http-client-2.10.4</x:v>
      </x:c>
      <x:c r="E34" s="7" t="str">
        <x:v>org.asynchttpclient:async-http-client</x:v>
      </x:c>
      <x:c r="F34" s="7" t="str">
        <x:v>2.10.4</x:v>
      </x:c>
      <x:c r="G34" s="7" t="str">
        <x:v>CWE-287</x:v>
      </x:c>
      <x:c r="H34" s="7" t="str">
        <x:v>CVE-2024-53990</x:v>
      </x:c>
      <x:c r="I34" s="7" t="n">
        <x:v>148</x:v>
      </x:c>
      <x:c r="J34" s="9" t="str">
        <x:v>PENDIENTE</x:v>
      </x:c>
      <x:c r="K34" s="10" t="n">
        <x:v>46310</x:v>
      </x:c>
      <x:c r="L34" s="7" t="str">
        <x:v>Avance 2026-10-15</x:v>
      </x:c>
      <x:c r="M34" s="8" t="str">
        <x:v>The AsyncHttpClient (AHC) library allows Java applications to easily execute HTTP reque sts and asynchronously process HTTP responses. When making any HTTP request, the automatical</x:v>
      </x:c>
      <x:c r="N34" s="17"/>
      <x:c r="O34" s="17"/>
    </x:row>
    <x:row r="35" ht="39.599998474121094" hidden="0" customHeight="1">
      <x:c r="A35" s="7" t="str">
        <x:v>SIAJ-0247</x:v>
      </x:c>
      <x:c r="B35" s="7" t="str">
        <x:v>SCA</x:v>
      </x:c>
      <x:c r="C35" s="7" t="str">
        <x:v>CRITICAL</x:v>
      </x:c>
      <x:c r="D35" s="8" t="str">
        <x:v>Dependencia org.bouncycastle:bcprov-jdk18on-1.78</x:v>
      </x:c>
      <x:c r="E35" s="7" t="str">
        <x:v>org.bouncycastle:bcprov-jdk18on</x:v>
      </x:c>
      <x:c r="F35" s="7" t="n">
        <x:v>1.78</x:v>
      </x:c>
      <x:c r="G35" s="7" t="str">
        <x:v>CWE-327</x:v>
      </x:c>
      <x:c r="H35" s="7" t="str">
        <x:v>CVE-2025-14813</x:v>
      </x:c>
      <x:c r="I35" s="7" t="n">
        <x:v>127</x:v>
      </x:c>
      <x:c r="J35" s="9" t="str">
        <x:v>PENDIENTE</x:v>
      </x:c>
      <x:c r="K35" s="10" t="n">
        <x:v>46310</x:v>
      </x:c>
      <x:c r="L35" s="7" t="str">
        <x:v>Avance 2026-10-15</x:v>
      </x:c>
      <x:c r="M35" s="8" t="str">
        <x:v>Use of a Broken or Risky Cryptographic Algorithm vulnerability in Legion of the Bouncy C astle Inc. BC-JAVA bcprov on all (core modules). This vulnerability is associated with prog</x:v>
      </x:c>
      <x:c r="N35" s="17"/>
      <x:c r="O35" s="17"/>
    </x:row>
    <x:row r="36" ht="39.599998474121094" hidden="0" customHeight="1">
      <x:c r="A36" s="7" t="str">
        <x:v>SIAJ-0357</x:v>
      </x:c>
      <x:c r="B36" s="7" t="str">
        <x:v>SCA</x:v>
      </x:c>
      <x:c r="C36" s="7" t="str">
        <x:v>CRITICAL</x:v>
      </x:c>
      <x:c r="D36" s="8" t="str">
        <x:v>Dependencia org.springframework.boot:spring-boot-autoconfigure-3.4.12</x:v>
      </x:c>
      <x:c r="E36" s="7" t="str">
        <x:v>org.springframework.boot:spring-boot-autoconfigure</x:v>
      </x:c>
      <x:c r="F36" s="7" t="str">
        <x:v>3.4.12</x:v>
      </x:c>
      <x:c r="G36" s="7" t="str">
        <x:v>CWE-295</x:v>
      </x:c>
      <x:c r="H36" s="7" t="str">
        <x:v>CVE-2026-40974</x:v>
      </x:c>
      <x:c r="I36" s="7" t="n">
        <x:v>167</x:v>
      </x:c>
      <x:c r="J36" s="9" t="str">
        <x:v>PENDIENTE</x:v>
      </x:c>
      <x:c r="K36" s="10" t="n">
        <x:v>46310</x:v>
      </x:c>
      <x:c r="L36" s="7" t="str">
        <x:v>Avance 2026-10-15</x:v>
      </x:c>
      <x:c r="M36" s="8" t="str">
        <x:v>Spring Boot's Cassandra auto-configuration does not perform hostname verification whe n establishing an SSL connection to Cassandra. Affected: Spring Boot prior to 3.5.14 and 4.0.0</x:v>
      </x:c>
      <x:c r="N36" s="17"/>
      <x:c r="O36" s="17"/>
    </x:row>
    <x:row r="37" ht="39.599998474121094" hidden="0" customHeight="1">
      <x:c r="A37" s="7" t="str">
        <x:v>SIAJ-0295</x:v>
      </x:c>
      <x:c r="B37" s="7" t="str">
        <x:v>SCA</x:v>
      </x:c>
      <x:c r="C37" s="7" t="str">
        <x:v>CRITICAL</x:v>
      </x:c>
      <x:c r="D37" s="8" t="str">
        <x:v>Dependencia org.springframework.security:spring-security-web-6.4.13</x:v>
      </x:c>
      <x:c r="E37" s="7" t="str">
        <x:v>org.springframework.security:spring-security-web</x:v>
      </x:c>
      <x:c r="F37" s="7" t="str">
        <x:v>6.4.13</x:v>
      </x:c>
      <x:c r="G37" s="7" t="str">
        <x:v>CWE-425</x:v>
      </x:c>
      <x:c r="H37" s="7" t="str">
        <x:v>CVE-2026-22732</x:v>
      </x:c>
      <x:c r="I37" s="7" t="n">
        <x:v>144</x:v>
      </x:c>
      <x:c r="J37" s="9" t="str">
        <x:v>PENDIENTE</x:v>
      </x:c>
      <x:c r="K37" s="10" t="n">
        <x:v>46310</x:v>
      </x:c>
      <x:c r="L37" s="7" t="str">
        <x:v>Avance 2026-10-15</x:v>
      </x:c>
      <x:c r="M37" s="8" t="str">
        <x:v>When applications specify HTTP response headers for servlet applications using Spring S ecurity, there is the possibility that the HTTP Headers will not be written. This issue affe</x:v>
      </x:c>
      <x:c r="N37" s="17"/>
      <x:c r="O37" s="17"/>
    </x:row>
    <x:row r="38" ht="39.599998474121094" hidden="0" customHeight="1">
      <x:c r="A38" s="7" t="str">
        <x:v>SIAJ-0369</x:v>
      </x:c>
      <x:c r="B38" s="7" t="str">
        <x:v>SCA</x:v>
      </x:c>
      <x:c r="C38" s="7" t="str">
        <x:v>CRITICAL</x:v>
      </x:c>
      <x:c r="D38" s="8" t="str">
        <x:v>Dependencia org.thymeleaf:thymeleaf-3.1.3.RELEASE</x:v>
      </x:c>
      <x:c r="E38" s="7" t="str">
        <x:v>org.thymeleaf:thymeleaf</x:v>
      </x:c>
      <x:c r="F38" s="7" t="str">
        <x:v>3.1.3.RELEASE</x:v>
      </x:c>
      <x:c r="G38" s="7" t="str">
        <x:v>CWE-917</x:v>
      </x:c>
      <x:c r="H38" s="7" t="str">
        <x:v>CVE-2026-40478</x:v>
      </x:c>
      <x:c r="I38" s="7" t="n">
        <x:v>172</x:v>
      </x:c>
      <x:c r="J38" s="9" t="str">
        <x:v>PENDIENTE</x:v>
      </x:c>
      <x:c r="K38" s="10" t="n">
        <x:v>46310</x:v>
      </x:c>
      <x:c r="L38" s="7" t="str">
        <x:v>Avance 2026-10-15</x:v>
      </x:c>
      <x:c r="M38" s="8" t="str">
        <x:v>A security bypass vulnerability exists in the expression execution mechanisms of Thymel eaf versions through 3.1.3.RELEASE. Although the library provides mechanisms to prevent expr</x:v>
      </x:c>
      <x:c r="N38" s="17"/>
      <x:c r="O38" s="17"/>
    </x:row>
    <x:row r="39" ht="39.599998474121094" hidden="0" customHeight="1">
      <x:c r="A39" s="7" t="str">
        <x:v>SIAJ-0370</x:v>
      </x:c>
      <x:c r="B39" s="7" t="str">
        <x:v>SCA</x:v>
      </x:c>
      <x:c r="C39" s="7" t="str">
        <x:v>CRITICAL</x:v>
      </x:c>
      <x:c r="D39" s="8" t="str">
        <x:v>Dependencia org.thymeleaf:thymeleaf-3.1.3.RELEASE</x:v>
      </x:c>
      <x:c r="E39" s="7" t="str">
        <x:v>org.thymeleaf:thymeleaf</x:v>
      </x:c>
      <x:c r="F39" s="7" t="str">
        <x:v>3.1.3.RELEASE</x:v>
      </x:c>
      <x:c r="G39" s="7" t="str">
        <x:v>CWE-917</x:v>
      </x:c>
      <x:c r="H39" s="7" t="str">
        <x:v>CVE-2026-41901</x:v>
      </x:c>
      <x:c r="I39" s="7" t="n">
        <x:v>172</x:v>
      </x:c>
      <x:c r="J39" s="9" t="str">
        <x:v>PENDIENTE</x:v>
      </x:c>
      <x:c r="K39" s="10" t="n">
        <x:v>46310</x:v>
      </x:c>
      <x:c r="L39" s="7" t="str">
        <x:v>Avance 2026-10-15</x:v>
      </x:c>
      <x:c r="M39" s="8" t="str">
        <x:v>A security bypass vulnerability exists in the expression execution mechanisms of Thymel eaf through 3.1.4.RELEASE. Although the library provides mechanisms to avoid the execution o</x:v>
      </x:c>
      <x:c r="N39" s="17"/>
      <x:c r="O39" s="17"/>
    </x:row>
    <x:row r="40" ht="39.599998474121094" hidden="0" customHeight="1">
      <x:c r="A40" s="7" t="str">
        <x:v>SIAJ-0371</x:v>
      </x:c>
      <x:c r="B40" s="7" t="str">
        <x:v>SCA</x:v>
      </x:c>
      <x:c r="C40" s="7" t="str">
        <x:v>CRITICAL</x:v>
      </x:c>
      <x:c r="D40" s="8" t="str">
        <x:v>Dependencia org.thymeleaf:thymeleaf-3.1.3.RELEASE</x:v>
      </x:c>
      <x:c r="E40" s="7" t="str">
        <x:v>org.thymeleaf:thymeleaf</x:v>
      </x:c>
      <x:c r="F40" s="7" t="str">
        <x:v>3.1.3.RELEASE</x:v>
      </x:c>
      <x:c r="G40" s="7" t="str">
        <x:v>CWE-917</x:v>
      </x:c>
      <x:c r="H40" s="7" t="str">
        <x:v>CVE-2026-40477</x:v>
      </x:c>
      <x:c r="I40" s="7" t="n">
        <x:v>172</x:v>
      </x:c>
      <x:c r="J40" s="9" t="str">
        <x:v>PENDIENTE</x:v>
      </x:c>
      <x:c r="K40" s="10" t="n">
        <x:v>46310</x:v>
      </x:c>
      <x:c r="L40" s="7" t="str">
        <x:v>Avance 2026-10-15</x:v>
      </x:c>
      <x:c r="M40" s="8" t="str">
        <x:v>A security bypass vulnerability exists in the expression execution mechanisms of Thymel eaf through 3.1.3.RELEASE. Although the library provides mechanisms to prevent expression in</x:v>
      </x:c>
      <x:c r="N40" s="17"/>
      <x:c r="O40" s="17"/>
    </x:row>
    <x:row r="41" ht="39.599998474121094" hidden="0" customHeight="1">
      <x:c r="A41" s="7" t="str">
        <x:v>SIAJ-0375</x:v>
      </x:c>
      <x:c r="B41" s="7" t="str">
        <x:v>SCA</x:v>
      </x:c>
      <x:c r="C41" s="7" t="str">
        <x:v>CRITICAL</x:v>
      </x:c>
      <x:c r="D41" s="8" t="str">
        <x:v>Dependencia org.thymeleaf:thymeleaf-spring6-3.1.3.RELEASE</x:v>
      </x:c>
      <x:c r="E41" s="7" t="str">
        <x:v>org.thymeleaf:thymeleaf-spring6</x:v>
      </x:c>
      <x:c r="F41" s="7" t="str">
        <x:v>3.1.3.RELEASE</x:v>
      </x:c>
      <x:c r="G41" s="7" t="str">
        <x:v>CWE-917</x:v>
      </x:c>
      <x:c r="H41" s="7" t="str">
        <x:v>CVE-2026-40477</x:v>
      </x:c>
      <x:c r="I41" s="7" t="n">
        <x:v>174</x:v>
      </x:c>
      <x:c r="J41" s="9" t="str">
        <x:v>PENDIENTE</x:v>
      </x:c>
      <x:c r="K41" s="10" t="n">
        <x:v>46341</x:v>
      </x:c>
      <x:c r="L41" s="7" t="str">
        <x:v>Avance 2026-11-15</x:v>
      </x:c>
      <x:c r="M41" s="8" t="str">
        <x:v>A security bypass vulnerability exists in the expression execution mechanisms of Thymel eaf through 3.1.3.RELEASE. Although the library provides mechanisms to prevent expression in</x:v>
      </x:c>
      <x:c r="N41" s="17"/>
      <x:c r="O41" s="17"/>
    </x:row>
    <x:row r="42" ht="39.599998474121094" hidden="0" customHeight="1">
      <x:c r="A42" s="7" t="str">
        <x:v>SIAJ-0376</x:v>
      </x:c>
      <x:c r="B42" s="7" t="str">
        <x:v>SCA</x:v>
      </x:c>
      <x:c r="C42" s="7" t="str">
        <x:v>CRITICAL</x:v>
      </x:c>
      <x:c r="D42" s="8" t="str">
        <x:v>Dependencia org.thymeleaf:thymeleaf-spring6-3.1.3.RELEASE</x:v>
      </x:c>
      <x:c r="E42" s="7" t="str">
        <x:v>org.thymeleaf:thymeleaf-spring6</x:v>
      </x:c>
      <x:c r="F42" s="7" t="str">
        <x:v>3.1.3.RELEASE</x:v>
      </x:c>
      <x:c r="G42" s="7" t="str">
        <x:v>CWE-917</x:v>
      </x:c>
      <x:c r="H42" s="7" t="str">
        <x:v>CVE-2026-40478</x:v>
      </x:c>
      <x:c r="I42" s="7" t="n">
        <x:v>174</x:v>
      </x:c>
      <x:c r="J42" s="9" t="str">
        <x:v>PENDIENTE</x:v>
      </x:c>
      <x:c r="K42" s="10" t="n">
        <x:v>46341</x:v>
      </x:c>
      <x:c r="L42" s="7" t="str">
        <x:v>Avance 2026-11-15</x:v>
      </x:c>
      <x:c r="M42" s="8" t="str">
        <x:v>A security bypass vulnerability exists in the expression execution mechanisms of Thymel eaf versions through 3.1.3.RELEASE. Although the library provides mechanisms to prevent expr</x:v>
      </x:c>
      <x:c r="N42" s="17"/>
      <x:c r="O42" s="17"/>
    </x:row>
    <x:row r="43" ht="39.599998474121094" hidden="0" customHeight="1">
      <x:c r="A43" s="7" t="str">
        <x:v>SIAJ-0377</x:v>
      </x:c>
      <x:c r="B43" s="7" t="str">
        <x:v>SCA</x:v>
      </x:c>
      <x:c r="C43" s="7" t="str">
        <x:v>CRITICAL</x:v>
      </x:c>
      <x:c r="D43" s="8" t="str">
        <x:v>Dependencia org.thymeleaf:thymeleaf-spring6-3.1.3.RELEASE</x:v>
      </x:c>
      <x:c r="E43" s="7" t="str">
        <x:v>org.thymeleaf:thymeleaf-spring6</x:v>
      </x:c>
      <x:c r="F43" s="7" t="str">
        <x:v>3.1.3.RELEASE</x:v>
      </x:c>
      <x:c r="G43" s="7" t="str">
        <x:v>CWE-917</x:v>
      </x:c>
      <x:c r="H43" s="7" t="str">
        <x:v>CVE-2026-41901</x:v>
      </x:c>
      <x:c r="I43" s="7" t="n">
        <x:v>174</x:v>
      </x:c>
      <x:c r="J43" s="9" t="str">
        <x:v>PENDIENTE</x:v>
      </x:c>
      <x:c r="K43" s="10" t="n">
        <x:v>46341</x:v>
      </x:c>
      <x:c r="L43" s="7" t="str">
        <x:v>Avance 2026-11-15</x:v>
      </x:c>
      <x:c r="M43" s="8" t="str">
        <x:v>A security bypass vulnerability exists in the expression execution mechanisms of Thymel eaf through 3.1.4.RELEASE. Although the library provides mechanisms to avoid the execution o</x:v>
      </x:c>
      <x:c r="N43" s="17"/>
      <x:c r="O43" s="17"/>
    </x:row>
    <x:row r="44" ht="15" hidden="0" customHeight="1">
      <x:c r="A44" s="7"/>
      <x:c r="B44" s="7"/>
      <x:c r="C44" s="7"/>
      <x:c r="D44" s="8"/>
      <x:c r="E44" s="7"/>
      <x:c r="F44" s="7"/>
      <x:c r="G44" s="7"/>
      <x:c r="H44" s="7"/>
      <x:c r="I44" s="7"/>
      <x:c r="J44" s="9"/>
      <x:c r="K44" s="10"/>
      <x:c r="L44" s="7"/>
      <x:c r="M44" s="8"/>
      <x:c r="N44" s="17"/>
      <x:c r="O44" s="17"/>
    </x:row>
    <x:row r="45" ht="15" hidden="0" customHeight="1">
      <x:c r="A45" s="7"/>
      <x:c r="B45" s="7"/>
      <x:c r="C45" s="7"/>
      <x:c r="D45" s="8"/>
      <x:c r="E45" s="7"/>
      <x:c r="F45" s="7"/>
      <x:c r="G45" s="7"/>
      <x:c r="H45" s="7"/>
      <x:c r="I45" s="7"/>
      <x:c r="J45" s="9"/>
      <x:c r="K45" s="10"/>
      <x:c r="L45" s="7"/>
      <x:c r="M45" s="8"/>
      <x:c r="N45" s="17"/>
      <x:c r="O45" s="17"/>
    </x:row>
    <x:row r="46" ht="15" hidden="0" customHeight="1">
      <x:c r="A46" s="7"/>
      <x:c r="B46" s="7"/>
      <x:c r="C46" s="7"/>
      <x:c r="D46" s="8"/>
      <x:c r="E46" s="7"/>
      <x:c r="F46" s="7"/>
      <x:c r="G46" s="7"/>
      <x:c r="H46" s="7"/>
      <x:c r="I46" s="7"/>
      <x:c r="J46" s="9"/>
      <x:c r="K46" s="10"/>
      <x:c r="L46" s="7"/>
      <x:c r="M46" s="8"/>
      <x:c r="N46" s="17"/>
      <x:c r="O46" s="17"/>
    </x:row>
    <x:row r="47" ht="15" hidden="0" customHeight="1">
      <x:c r="A47" s="7"/>
      <x:c r="B47" s="7"/>
      <x:c r="C47" s="7"/>
      <x:c r="D47" s="8"/>
      <x:c r="E47" s="7"/>
      <x:c r="F47" s="7"/>
      <x:c r="G47" s="7"/>
      <x:c r="H47" s="7"/>
      <x:c r="I47" s="7"/>
      <x:c r="J47" s="9"/>
      <x:c r="K47" s="10"/>
      <x:c r="L47" s="7"/>
      <x:c r="M47" s="8"/>
      <x:c r="N47" s="17"/>
      <x:c r="O47" s="17"/>
    </x:row>
    <x:row r="48" ht="15" hidden="0" customHeight="1">
      <x:c r="A48" s="7"/>
      <x:c r="B48" s="7"/>
      <x:c r="C48" s="7"/>
      <x:c r="D48" s="8"/>
      <x:c r="E48" s="7"/>
      <x:c r="F48" s="7"/>
      <x:c r="G48" s="7"/>
      <x:c r="H48" s="7"/>
      <x:c r="I48" s="7"/>
      <x:c r="J48" s="9"/>
      <x:c r="K48" s="10"/>
      <x:c r="L48" s="7"/>
      <x:c r="M48" s="8"/>
      <x:c r="N48" s="17"/>
      <x:c r="O48" s="17"/>
    </x:row>
    <x:row r="49" ht="15" hidden="0" customHeight="1">
      <x:c r="A49" s="7"/>
      <x:c r="B49" s="7"/>
      <x:c r="C49" s="7"/>
      <x:c r="D49" s="8"/>
      <x:c r="E49" s="7"/>
      <x:c r="F49" s="7"/>
      <x:c r="G49" s="7"/>
      <x:c r="H49" s="7"/>
      <x:c r="I49" s="7"/>
      <x:c r="J49" s="9"/>
      <x:c r="K49" s="10"/>
      <x:c r="L49" s="7"/>
      <x:c r="M49" s="8"/>
      <x:c r="N49" s="17"/>
      <x:c r="O49" s="17"/>
    </x:row>
    <x:row r="50" ht="15" hidden="0" customHeight="1">
      <x:c r="A50" s="7"/>
      <x:c r="B50" s="7"/>
      <x:c r="C50" s="7"/>
      <x:c r="D50" s="8"/>
      <x:c r="E50" s="7"/>
      <x:c r="F50" s="7"/>
      <x:c r="G50" s="7"/>
      <x:c r="H50" s="7"/>
      <x:c r="I50" s="7"/>
      <x:c r="J50" s="9"/>
      <x:c r="K50" s="10"/>
      <x:c r="L50" s="7"/>
      <x:c r="M50" s="8"/>
      <x:c r="N50" s="17"/>
      <x:c r="O50" s="17"/>
    </x:row>
    <x:row r="51" ht="15" hidden="0" customHeight="1">
      <x:c r="A51" s="7"/>
      <x:c r="B51" s="7"/>
      <x:c r="C51" s="7"/>
      <x:c r="D51" s="8"/>
      <x:c r="E51" s="7"/>
      <x:c r="F51" s="7"/>
      <x:c r="G51" s="7"/>
      <x:c r="H51" s="7"/>
      <x:c r="I51" s="7"/>
      <x:c r="J51" s="9"/>
      <x:c r="K51" s="10"/>
      <x:c r="L51" s="7"/>
      <x:c r="M51" s="8"/>
      <x:c r="N51" s="17"/>
      <x:c r="O51" s="17"/>
    </x:row>
    <x:row r="52" ht="15" hidden="0" customHeight="1">
      <x:c r="A52" s="7"/>
      <x:c r="B52" s="7"/>
      <x:c r="C52" s="7"/>
      <x:c r="D52" s="8"/>
      <x:c r="E52" s="7"/>
      <x:c r="F52" s="7"/>
      <x:c r="G52" s="7"/>
      <x:c r="H52" s="7"/>
      <x:c r="I52" s="7"/>
      <x:c r="J52" s="9"/>
      <x:c r="K52" s="10"/>
      <x:c r="L52" s="7"/>
      <x:c r="M52" s="8"/>
      <x:c r="N52" s="17"/>
      <x:c r="O52" s="17"/>
    </x:row>
    <x:row r="53" ht="15" hidden="0" customHeight="1">
      <x:c r="A53" s="7"/>
      <x:c r="B53" s="7"/>
      <x:c r="C53" s="7"/>
      <x:c r="D53" s="8"/>
      <x:c r="E53" s="7"/>
      <x:c r="F53" s="7"/>
      <x:c r="G53" s="7"/>
      <x:c r="H53" s="7"/>
      <x:c r="I53" s="7"/>
      <x:c r="J53" s="9"/>
      <x:c r="K53" s="10"/>
      <x:c r="L53" s="7"/>
      <x:c r="M53" s="8"/>
      <x:c r="N53" s="17"/>
      <x:c r="O53" s="17"/>
    </x:row>
    <x:row r="54" ht="15" hidden="0" customHeight="1">
      <x:c r="A54" s="7"/>
      <x:c r="B54" s="7"/>
      <x:c r="C54" s="7"/>
      <x:c r="D54" s="8"/>
      <x:c r="E54" s="7"/>
      <x:c r="F54" s="7"/>
      <x:c r="G54" s="7"/>
      <x:c r="H54" s="7"/>
      <x:c r="I54" s="7"/>
      <x:c r="J54" s="9"/>
      <x:c r="K54" s="10"/>
      <x:c r="L54" s="7"/>
      <x:c r="M54" s="8"/>
      <x:c r="N54" s="17"/>
      <x:c r="O54" s="17"/>
    </x:row>
    <x:row r="55" ht="15" hidden="0" customHeight="1">
      <x:c r="A55" s="7"/>
      <x:c r="B55" s="7"/>
      <x:c r="C55" s="7"/>
      <x:c r="D55" s="8"/>
      <x:c r="E55" s="7"/>
      <x:c r="F55" s="7"/>
      <x:c r="G55" s="7"/>
      <x:c r="H55" s="7"/>
      <x:c r="I55" s="7"/>
      <x:c r="J55" s="9"/>
      <x:c r="K55" s="10"/>
      <x:c r="L55" s="7"/>
      <x:c r="M55" s="8"/>
      <x:c r="N55" s="17"/>
      <x:c r="O55" s="17"/>
    </x:row>
    <x:row r="56" ht="15" hidden="0" customHeight="1">
      <x:c r="A56" s="7"/>
      <x:c r="B56" s="7"/>
      <x:c r="C56" s="7"/>
      <x:c r="D56" s="8"/>
      <x:c r="E56" s="7"/>
      <x:c r="F56" s="7"/>
      <x:c r="G56" s="7"/>
      <x:c r="H56" s="7"/>
      <x:c r="I56" s="7"/>
      <x:c r="J56" s="9"/>
      <x:c r="K56" s="10"/>
      <x:c r="L56" s="7"/>
      <x:c r="M56" s="8"/>
      <x:c r="N56" s="17"/>
      <x:c r="O56" s="17"/>
    </x:row>
    <x:row r="57" ht="15" hidden="0" customHeight="1">
      <x:c r="A57" s="7"/>
      <x:c r="B57" s="7"/>
      <x:c r="C57" s="7"/>
      <x:c r="D57" s="8"/>
      <x:c r="E57" s="7"/>
      <x:c r="F57" s="7"/>
      <x:c r="G57" s="7"/>
      <x:c r="H57" s="7"/>
      <x:c r="I57" s="7"/>
      <x:c r="J57" s="9"/>
      <x:c r="K57" s="10"/>
      <x:c r="L57" s="7"/>
      <x:c r="M57" s="8"/>
      <x:c r="N57" s="17"/>
      <x:c r="O57" s="17"/>
    </x:row>
    <x:row r="58" ht="15" hidden="0" customHeight="1">
      <x:c r="A58" s="7"/>
      <x:c r="B58" s="7"/>
      <x:c r="C58" s="7"/>
      <x:c r="D58" s="8"/>
      <x:c r="E58" s="7"/>
      <x:c r="F58" s="7"/>
      <x:c r="G58" s="7"/>
      <x:c r="H58" s="7"/>
      <x:c r="I58" s="7"/>
      <x:c r="J58" s="9"/>
      <x:c r="K58" s="10"/>
      <x:c r="L58" s="7"/>
      <x:c r="M58" s="8"/>
      <x:c r="N58" s="17"/>
      <x:c r="O58" s="17"/>
    </x:row>
    <x:row r="59" ht="15" hidden="0" customHeight="1">
      <x:c r="A59" s="7"/>
      <x:c r="B59" s="7"/>
      <x:c r="C59" s="7"/>
      <x:c r="D59" s="8"/>
      <x:c r="E59" s="7"/>
      <x:c r="F59" s="7"/>
      <x:c r="G59" s="7"/>
      <x:c r="H59" s="7"/>
      <x:c r="I59" s="7"/>
      <x:c r="J59" s="9"/>
      <x:c r="K59" s="10"/>
      <x:c r="L59" s="7"/>
      <x:c r="M59" s="8"/>
      <x:c r="N59" s="17"/>
      <x:c r="O59" s="17"/>
    </x:row>
    <x:row r="60" ht="15" hidden="0" customHeight="1">
      <x:c r="A60" s="7"/>
      <x:c r="B60" s="7"/>
      <x:c r="C60" s="7"/>
      <x:c r="D60" s="8"/>
      <x:c r="E60" s="7"/>
      <x:c r="F60" s="7"/>
      <x:c r="G60" s="7"/>
      <x:c r="H60" s="7"/>
      <x:c r="I60" s="7"/>
      <x:c r="J60" s="9"/>
      <x:c r="K60" s="10"/>
      <x:c r="L60" s="7"/>
      <x:c r="M60" s="8"/>
      <x:c r="N60" s="17"/>
      <x:c r="O60" s="17"/>
    </x:row>
    <x:row r="61" ht="15" hidden="0" customHeight="1">
      <x:c r="A61" s="7"/>
      <x:c r="B61" s="7"/>
      <x:c r="C61" s="7"/>
      <x:c r="D61" s="8"/>
      <x:c r="E61" s="7"/>
      <x:c r="F61" s="7"/>
      <x:c r="G61" s="7"/>
      <x:c r="H61" s="7"/>
      <x:c r="I61" s="7"/>
      <x:c r="J61" s="9"/>
      <x:c r="K61" s="10"/>
      <x:c r="L61" s="7"/>
      <x:c r="M61" s="8"/>
      <x:c r="N61" s="17"/>
      <x:c r="O61" s="17"/>
    </x:row>
    <x:row r="62" ht="15" hidden="0" customHeight="1">
      <x:c r="A62" s="7"/>
      <x:c r="B62" s="7"/>
      <x:c r="C62" s="7"/>
      <x:c r="D62" s="8"/>
      <x:c r="E62" s="7"/>
      <x:c r="F62" s="7"/>
      <x:c r="G62" s="7"/>
      <x:c r="H62" s="7"/>
      <x:c r="I62" s="7"/>
      <x:c r="J62" s="9"/>
      <x:c r="K62" s="10"/>
      <x:c r="L62" s="7"/>
      <x:c r="M62" s="8"/>
      <x:c r="N62" s="17"/>
      <x:c r="O62" s="17"/>
    </x:row>
    <x:row r="63" ht="15" hidden="0" customHeight="1">
      <x:c r="A63" s="7"/>
      <x:c r="B63" s="7"/>
      <x:c r="C63" s="7"/>
      <x:c r="D63" s="8"/>
      <x:c r="E63" s="7"/>
      <x:c r="F63" s="7"/>
      <x:c r="G63" s="7"/>
      <x:c r="H63" s="7"/>
      <x:c r="I63" s="7"/>
      <x:c r="J63" s="9"/>
      <x:c r="K63" s="10"/>
      <x:c r="L63" s="7"/>
      <x:c r="M63" s="8"/>
      <x:c r="N63" s="17"/>
      <x:c r="O63" s="17"/>
    </x:row>
    <x:row r="64" ht="15" hidden="0" customHeight="1">
      <x:c r="A64" s="7"/>
      <x:c r="B64" s="7"/>
      <x:c r="C64" s="7"/>
      <x:c r="D64" s="8"/>
      <x:c r="E64" s="7"/>
      <x:c r="F64" s="7"/>
      <x:c r="G64" s="7"/>
      <x:c r="H64" s="7"/>
      <x:c r="I64" s="7"/>
      <x:c r="J64" s="9"/>
      <x:c r="K64" s="10"/>
      <x:c r="L64" s="7"/>
      <x:c r="M64" s="8"/>
      <x:c r="N64" s="17"/>
      <x:c r="O64" s="17"/>
    </x:row>
    <x:row r="65" ht="15" hidden="0" customHeight="1">
      <x:c r="A65" s="7"/>
      <x:c r="B65" s="7"/>
      <x:c r="C65" s="7"/>
      <x:c r="D65" s="8"/>
      <x:c r="E65" s="7"/>
      <x:c r="F65" s="7"/>
      <x:c r="G65" s="7"/>
      <x:c r="H65" s="7"/>
      <x:c r="I65" s="7"/>
      <x:c r="J65" s="9"/>
      <x:c r="K65" s="10"/>
      <x:c r="L65" s="7"/>
      <x:c r="M65" s="8"/>
      <x:c r="N65" s="17"/>
      <x:c r="O65" s="17"/>
    </x:row>
    <x:row r="66" ht="15" hidden="0" customHeight="1">
      <x:c r="A66" s="7"/>
      <x:c r="B66" s="7"/>
      <x:c r="C66" s="7"/>
      <x:c r="D66" s="8"/>
      <x:c r="E66" s="7"/>
      <x:c r="F66" s="7"/>
      <x:c r="G66" s="7"/>
      <x:c r="H66" s="7"/>
      <x:c r="I66" s="7"/>
      <x:c r="J66" s="9"/>
      <x:c r="K66" s="10"/>
      <x:c r="L66" s="7"/>
      <x:c r="M66" s="8"/>
      <x:c r="N66" s="17"/>
      <x:c r="O66" s="17"/>
    </x:row>
    <x:row r="67" ht="15" hidden="0" customHeight="1">
      <x:c r="A67" s="7"/>
      <x:c r="B67" s="7"/>
      <x:c r="C67" s="7"/>
      <x:c r="D67" s="8"/>
      <x:c r="E67" s="7"/>
      <x:c r="F67" s="7"/>
      <x:c r="G67" s="7"/>
      <x:c r="H67" s="7"/>
      <x:c r="I67" s="7"/>
      <x:c r="J67" s="9"/>
      <x:c r="K67" s="10"/>
      <x:c r="L67" s="7"/>
      <x:c r="M67" s="8"/>
      <x:c r="N67" s="17"/>
      <x:c r="O67" s="17"/>
    </x:row>
    <x:row r="68" ht="15" hidden="0" customHeight="1">
      <x:c r="A68" s="7"/>
      <x:c r="B68" s="7"/>
      <x:c r="C68" s="7"/>
      <x:c r="D68" s="8"/>
      <x:c r="E68" s="7"/>
      <x:c r="F68" s="7"/>
      <x:c r="G68" s="7"/>
      <x:c r="H68" s="7"/>
      <x:c r="I68" s="7"/>
      <x:c r="J68" s="9"/>
      <x:c r="K68" s="10"/>
      <x:c r="L68" s="7"/>
      <x:c r="M68" s="8"/>
      <x:c r="N68" s="17"/>
      <x:c r="O68" s="17"/>
    </x:row>
    <x:row r="69" ht="15" hidden="0" customHeight="1">
      <x:c r="A69" s="7"/>
      <x:c r="B69" s="7"/>
      <x:c r="C69" s="7"/>
      <x:c r="D69" s="8"/>
      <x:c r="E69" s="7"/>
      <x:c r="F69" s="7"/>
      <x:c r="G69" s="7"/>
      <x:c r="H69" s="7"/>
      <x:c r="I69" s="7"/>
      <x:c r="J69" s="9"/>
      <x:c r="K69" s="10"/>
      <x:c r="L69" s="7"/>
      <x:c r="M69" s="8"/>
      <x:c r="N69" s="17"/>
      <x:c r="O69" s="17"/>
    </x:row>
    <x:row r="70" ht="15" hidden="0" customHeight="1">
      <x:c r="A70" s="7"/>
      <x:c r="B70" s="7"/>
      <x:c r="C70" s="7"/>
      <x:c r="D70" s="8"/>
      <x:c r="E70" s="7"/>
      <x:c r="F70" s="7"/>
      <x:c r="G70" s="7"/>
      <x:c r="H70" s="7"/>
      <x:c r="I70" s="7"/>
      <x:c r="J70" s="9"/>
      <x:c r="K70" s="10"/>
      <x:c r="L70" s="7"/>
      <x:c r="M70" s="8"/>
      <x:c r="N70" s="17"/>
      <x:c r="O70" s="17"/>
    </x:row>
    <x:row r="71" ht="15" hidden="0" customHeight="1">
      <x:c r="A71" s="7"/>
      <x:c r="B71" s="7"/>
      <x:c r="C71" s="7"/>
      <x:c r="D71" s="8"/>
      <x:c r="E71" s="7"/>
      <x:c r="F71" s="7"/>
      <x:c r="G71" s="7"/>
      <x:c r="H71" s="7"/>
      <x:c r="I71" s="7"/>
      <x:c r="J71" s="9"/>
      <x:c r="K71" s="10"/>
      <x:c r="L71" s="7"/>
      <x:c r="M71" s="8"/>
      <x:c r="N71" s="17"/>
      <x:c r="O71" s="17"/>
    </x:row>
    <x:row r="72" ht="15" hidden="0" customHeight="1">
      <x:c r="A72" s="7"/>
      <x:c r="B72" s="7"/>
      <x:c r="C72" s="7"/>
      <x:c r="D72" s="8"/>
      <x:c r="E72" s="7"/>
      <x:c r="F72" s="7"/>
      <x:c r="G72" s="7"/>
      <x:c r="H72" s="7"/>
      <x:c r="I72" s="7"/>
      <x:c r="J72" s="9"/>
      <x:c r="K72" s="10"/>
      <x:c r="L72" s="7"/>
      <x:c r="M72" s="8"/>
      <x:c r="N72" s="17"/>
      <x:c r="O72" s="17"/>
    </x:row>
    <x:row r="73" ht="15" hidden="0" customHeight="1">
      <x:c r="A73" s="7"/>
      <x:c r="B73" s="7"/>
      <x:c r="C73" s="7"/>
      <x:c r="D73" s="8"/>
      <x:c r="E73" s="7"/>
      <x:c r="F73" s="7"/>
      <x:c r="G73" s="7"/>
      <x:c r="H73" s="7"/>
      <x:c r="I73" s="7"/>
      <x:c r="J73" s="9"/>
      <x:c r="K73" s="10"/>
      <x:c r="L73" s="7"/>
      <x:c r="M73" s="8"/>
      <x:c r="N73" s="17"/>
      <x:c r="O73" s="17"/>
    </x:row>
    <x:row r="74" ht="15" hidden="0" customHeight="1">
      <x:c r="A74" s="7"/>
      <x:c r="B74" s="7"/>
      <x:c r="C74" s="7"/>
      <x:c r="D74" s="8"/>
      <x:c r="E74" s="7"/>
      <x:c r="F74" s="7"/>
      <x:c r="G74" s="7"/>
      <x:c r="H74" s="7"/>
      <x:c r="I74" s="7"/>
      <x:c r="J74" s="9"/>
      <x:c r="K74" s="10"/>
      <x:c r="L74" s="7"/>
      <x:c r="M74" s="8"/>
      <x:c r="N74" s="17"/>
      <x:c r="O74" s="17"/>
    </x:row>
    <x:row r="75" ht="15" hidden="0" customHeight="1">
      <x:c r="A75" s="7"/>
      <x:c r="B75" s="7"/>
      <x:c r="C75" s="7"/>
      <x:c r="D75" s="8"/>
      <x:c r="E75" s="7"/>
      <x:c r="F75" s="7"/>
      <x:c r="G75" s="7"/>
      <x:c r="H75" s="7"/>
      <x:c r="I75" s="7"/>
      <x:c r="J75" s="9"/>
      <x:c r="K75" s="10"/>
      <x:c r="L75" s="7"/>
      <x:c r="M75" s="8"/>
      <x:c r="N75" s="17"/>
      <x:c r="O75" s="17"/>
    </x:row>
    <x:row r="76" ht="15" hidden="0" customHeight="1">
      <x:c r="A76" s="7"/>
      <x:c r="B76" s="7"/>
      <x:c r="C76" s="7"/>
      <x:c r="D76" s="8"/>
      <x:c r="E76" s="7"/>
      <x:c r="F76" s="7"/>
      <x:c r="G76" s="7"/>
      <x:c r="H76" s="7"/>
      <x:c r="I76" s="7"/>
      <x:c r="J76" s="9"/>
      <x:c r="K76" s="10"/>
      <x:c r="L76" s="7"/>
      <x:c r="M76" s="8"/>
      <x:c r="N76" s="17"/>
      <x:c r="O76" s="17"/>
    </x:row>
    <x:row r="77" ht="15" hidden="0" customHeight="1">
      <x:c r="A77" s="7"/>
      <x:c r="B77" s="7"/>
      <x:c r="C77" s="7"/>
      <x:c r="D77" s="8"/>
      <x:c r="E77" s="7"/>
      <x:c r="F77" s="7"/>
      <x:c r="G77" s="7"/>
      <x:c r="H77" s="7"/>
      <x:c r="I77" s="7"/>
      <x:c r="J77" s="9"/>
      <x:c r="K77" s="10"/>
      <x:c r="L77" s="7"/>
      <x:c r="M77" s="8"/>
      <x:c r="N77" s="17"/>
      <x:c r="O77" s="17"/>
    </x:row>
    <x:row r="78" ht="15" hidden="0" customHeight="1">
      <x:c r="A78" s="7"/>
      <x:c r="B78" s="7"/>
      <x:c r="C78" s="7"/>
      <x:c r="D78" s="8"/>
      <x:c r="E78" s="7"/>
      <x:c r="F78" s="7"/>
      <x:c r="G78" s="7"/>
      <x:c r="H78" s="7"/>
      <x:c r="I78" s="7"/>
      <x:c r="J78" s="9"/>
      <x:c r="K78" s="10"/>
      <x:c r="L78" s="7"/>
      <x:c r="M78" s="8"/>
      <x:c r="N78" s="17"/>
      <x:c r="O78" s="17"/>
    </x:row>
    <x:row r="79" ht="15" hidden="0" customHeight="1">
      <x:c r="A79" s="7"/>
      <x:c r="B79" s="7"/>
      <x:c r="C79" s="7"/>
      <x:c r="D79" s="8"/>
      <x:c r="E79" s="7"/>
      <x:c r="F79" s="7"/>
      <x:c r="G79" s="7"/>
      <x:c r="H79" s="7"/>
      <x:c r="I79" s="7"/>
      <x:c r="J79" s="9"/>
      <x:c r="K79" s="10"/>
      <x:c r="L79" s="7"/>
      <x:c r="M79" s="8"/>
      <x:c r="N79" s="17"/>
      <x:c r="O79" s="17"/>
    </x:row>
    <x:row r="80" ht="15" hidden="0" customHeight="1">
      <x:c r="A80" s="7"/>
      <x:c r="B80" s="7"/>
      <x:c r="C80" s="7"/>
      <x:c r="D80" s="8"/>
      <x:c r="E80" s="7"/>
      <x:c r="F80" s="7"/>
      <x:c r="G80" s="7"/>
      <x:c r="H80" s="7"/>
      <x:c r="I80" s="7"/>
      <x:c r="J80" s="9"/>
      <x:c r="K80" s="10"/>
      <x:c r="L80" s="7"/>
      <x:c r="M80" s="8"/>
      <x:c r="N80" s="17"/>
      <x:c r="O80" s="17"/>
    </x:row>
    <x:row r="81" ht="15" hidden="0" customHeight="1">
      <x:c r="A81" s="7"/>
      <x:c r="B81" s="7"/>
      <x:c r="C81" s="7"/>
      <x:c r="D81" s="8"/>
      <x:c r="E81" s="7"/>
      <x:c r="F81" s="7"/>
      <x:c r="G81" s="7"/>
      <x:c r="H81" s="7"/>
      <x:c r="I81" s="7"/>
      <x:c r="J81" s="9"/>
      <x:c r="K81" s="10"/>
      <x:c r="L81" s="7"/>
      <x:c r="M81" s="8"/>
      <x:c r="N81" s="17"/>
      <x:c r="O81" s="17"/>
    </x:row>
    <x:row r="82" ht="15" hidden="0" customHeight="1">
      <x:c r="A82" s="7"/>
      <x:c r="B82" s="7"/>
      <x:c r="C82" s="7"/>
      <x:c r="D82" s="8"/>
      <x:c r="E82" s="7"/>
      <x:c r="F82" s="7"/>
      <x:c r="G82" s="7"/>
      <x:c r="H82" s="7"/>
      <x:c r="I82" s="7"/>
      <x:c r="J82" s="9"/>
      <x:c r="K82" s="10"/>
      <x:c r="L82" s="7"/>
      <x:c r="M82" s="8"/>
      <x:c r="N82" s="17"/>
      <x:c r="O82" s="17"/>
    </x:row>
    <x:row r="83" ht="15" hidden="0" customHeight="1">
      <x:c r="A83" s="7"/>
      <x:c r="B83" s="7"/>
      <x:c r="C83" s="7"/>
      <x:c r="D83" s="8"/>
      <x:c r="E83" s="7"/>
      <x:c r="F83" s="7"/>
      <x:c r="G83" s="7"/>
      <x:c r="H83" s="7"/>
      <x:c r="I83" s="7"/>
      <x:c r="J83" s="9"/>
      <x:c r="K83" s="10"/>
      <x:c r="L83" s="7"/>
      <x:c r="M83" s="8"/>
      <x:c r="N83" s="17"/>
      <x:c r="O83" s="17"/>
    </x:row>
    <x:row r="84" ht="15" hidden="0" customHeight="1">
      <x:c r="A84" s="7"/>
      <x:c r="B84" s="7"/>
      <x:c r="C84" s="7"/>
      <x:c r="D84" s="8"/>
      <x:c r="E84" s="7"/>
      <x:c r="F84" s="7"/>
      <x:c r="G84" s="7"/>
      <x:c r="H84" s="7"/>
      <x:c r="I84" s="7"/>
      <x:c r="J84" s="9"/>
      <x:c r="K84" s="10"/>
      <x:c r="L84" s="7"/>
      <x:c r="M84" s="8"/>
      <x:c r="N84" s="17"/>
      <x:c r="O84" s="17"/>
    </x:row>
    <x:row r="85" ht="15" hidden="0" customHeight="1">
      <x:c r="A85" s="7"/>
      <x:c r="B85" s="7"/>
      <x:c r="C85" s="7"/>
      <x:c r="D85" s="8"/>
      <x:c r="E85" s="7"/>
      <x:c r="F85" s="7"/>
      <x:c r="G85" s="7"/>
      <x:c r="H85" s="7"/>
      <x:c r="I85" s="7"/>
      <x:c r="J85" s="9"/>
      <x:c r="K85" s="10"/>
      <x:c r="L85" s="7"/>
      <x:c r="M85" s="8"/>
      <x:c r="N85" s="17"/>
      <x:c r="O85" s="17"/>
    </x:row>
    <x:row r="86" ht="15" hidden="0" customHeight="1">
      <x:c r="A86" s="7"/>
      <x:c r="B86" s="7"/>
      <x:c r="C86" s="7"/>
      <x:c r="D86" s="8"/>
      <x:c r="E86" s="7"/>
      <x:c r="F86" s="7"/>
      <x:c r="G86" s="7"/>
      <x:c r="H86" s="7"/>
      <x:c r="I86" s="7"/>
      <x:c r="J86" s="9"/>
      <x:c r="K86" s="10"/>
      <x:c r="L86" s="7"/>
      <x:c r="M86" s="8"/>
      <x:c r="N86" s="17"/>
      <x:c r="O86" s="17"/>
    </x:row>
    <x:row r="87" ht="15" hidden="0" customHeight="1">
      <x:c r="A87" s="7"/>
      <x:c r="B87" s="7"/>
      <x:c r="C87" s="7"/>
      <x:c r="D87" s="8"/>
      <x:c r="E87" s="7"/>
      <x:c r="F87" s="7"/>
      <x:c r="G87" s="7"/>
      <x:c r="H87" s="7"/>
      <x:c r="I87" s="7"/>
      <x:c r="J87" s="9"/>
      <x:c r="K87" s="10"/>
      <x:c r="L87" s="7"/>
      <x:c r="M87" s="8"/>
      <x:c r="N87" s="17"/>
      <x:c r="O87" s="17"/>
    </x:row>
    <x:row r="88" ht="15" hidden="0" customHeight="1">
      <x:c r="A88" s="7"/>
      <x:c r="B88" s="7"/>
      <x:c r="C88" s="7"/>
      <x:c r="D88" s="8"/>
      <x:c r="E88" s="7"/>
      <x:c r="F88" s="7"/>
      <x:c r="G88" s="7"/>
      <x:c r="H88" s="7"/>
      <x:c r="I88" s="7"/>
      <x:c r="J88" s="9"/>
      <x:c r="K88" s="10"/>
      <x:c r="L88" s="7"/>
      <x:c r="M88" s="8"/>
      <x:c r="N88" s="17"/>
      <x:c r="O88" s="17"/>
    </x:row>
    <x:row r="89" ht="15" hidden="0" customHeight="1">
      <x:c r="A89" s="7"/>
      <x:c r="B89" s="7"/>
      <x:c r="C89" s="7"/>
      <x:c r="D89" s="8"/>
      <x:c r="E89" s="7"/>
      <x:c r="F89" s="7"/>
      <x:c r="G89" s="7"/>
      <x:c r="H89" s="7"/>
      <x:c r="I89" s="7"/>
      <x:c r="J89" s="9"/>
      <x:c r="K89" s="10"/>
      <x:c r="L89" s="7"/>
      <x:c r="M89" s="8"/>
      <x:c r="N89" s="17"/>
      <x:c r="O89" s="17"/>
    </x:row>
    <x:row r="90" ht="15" hidden="0" customHeight="1">
      <x:c r="A90" s="7"/>
      <x:c r="B90" s="7"/>
      <x:c r="C90" s="7"/>
      <x:c r="D90" s="8"/>
      <x:c r="E90" s="7"/>
      <x:c r="F90" s="7"/>
      <x:c r="G90" s="7"/>
      <x:c r="H90" s="7"/>
      <x:c r="I90" s="7"/>
      <x:c r="J90" s="9"/>
      <x:c r="K90" s="10"/>
      <x:c r="L90" s="7"/>
      <x:c r="M90" s="8"/>
      <x:c r="N90" s="17"/>
      <x:c r="O90" s="17"/>
    </x:row>
    <x:row r="91" ht="15" hidden="0" customHeight="1">
      <x:c r="A91" s="7"/>
      <x:c r="B91" s="7"/>
      <x:c r="C91" s="7"/>
      <x:c r="D91" s="8"/>
      <x:c r="E91" s="7"/>
      <x:c r="F91" s="7"/>
      <x:c r="G91" s="7"/>
      <x:c r="H91" s="7"/>
      <x:c r="I91" s="7"/>
      <x:c r="J91" s="9"/>
      <x:c r="K91" s="10"/>
      <x:c r="L91" s="7"/>
      <x:c r="M91" s="8"/>
      <x:c r="N91" s="17"/>
      <x:c r="O91" s="17"/>
    </x:row>
    <x:row r="92" ht="15" hidden="0" customHeight="1">
      <x:c r="A92" s="7"/>
      <x:c r="B92" s="7"/>
      <x:c r="C92" s="7"/>
      <x:c r="D92" s="8"/>
      <x:c r="E92" s="7"/>
      <x:c r="F92" s="7"/>
      <x:c r="G92" s="7"/>
      <x:c r="H92" s="7"/>
      <x:c r="I92" s="7"/>
      <x:c r="J92" s="9"/>
      <x:c r="K92" s="10"/>
      <x:c r="L92" s="7"/>
      <x:c r="M92" s="8"/>
      <x:c r="N92" s="17"/>
      <x:c r="O92" s="17"/>
    </x:row>
    <x:row r="93" ht="15" hidden="0" customHeight="1">
      <x:c r="A93" s="7"/>
      <x:c r="B93" s="7"/>
      <x:c r="C93" s="7"/>
      <x:c r="D93" s="8"/>
      <x:c r="E93" s="7"/>
      <x:c r="F93" s="7"/>
      <x:c r="G93" s="7"/>
      <x:c r="H93" s="7"/>
      <x:c r="I93" s="7"/>
      <x:c r="J93" s="9"/>
      <x:c r="K93" s="10"/>
      <x:c r="L93" s="7"/>
      <x:c r="M93" s="8"/>
      <x:c r="N93" s="17"/>
      <x:c r="O93" s="17"/>
    </x:row>
    <x:row r="94" ht="15" hidden="0" customHeight="1">
      <x:c r="A94" s="7"/>
      <x:c r="B94" s="7"/>
      <x:c r="C94" s="7"/>
      <x:c r="D94" s="8"/>
      <x:c r="E94" s="7"/>
      <x:c r="F94" s="7"/>
      <x:c r="G94" s="7"/>
      <x:c r="H94" s="7"/>
      <x:c r="I94" s="7"/>
      <x:c r="J94" s="9"/>
      <x:c r="K94" s="10"/>
      <x:c r="L94" s="7"/>
      <x:c r="M94" s="8"/>
      <x:c r="N94" s="17"/>
      <x:c r="O94" s="17"/>
    </x:row>
    <x:row r="95" ht="15" hidden="0" customHeight="1">
      <x:c r="A95" s="7"/>
      <x:c r="B95" s="7"/>
      <x:c r="C95" s="7"/>
      <x:c r="D95" s="8"/>
      <x:c r="E95" s="7"/>
      <x:c r="F95" s="7"/>
      <x:c r="G95" s="7"/>
      <x:c r="H95" s="7"/>
      <x:c r="I95" s="7"/>
      <x:c r="J95" s="9"/>
      <x:c r="K95" s="10"/>
      <x:c r="L95" s="7"/>
      <x:c r="M95" s="8"/>
      <x:c r="N95" s="17"/>
      <x:c r="O95" s="17"/>
    </x:row>
    <x:row r="96" ht="15" hidden="0" customHeight="1">
      <x:c r="A96" s="7"/>
      <x:c r="B96" s="7"/>
      <x:c r="C96" s="7"/>
      <x:c r="D96" s="8"/>
      <x:c r="E96" s="7"/>
      <x:c r="F96" s="7"/>
      <x:c r="G96" s="7"/>
      <x:c r="H96" s="7"/>
      <x:c r="I96" s="7"/>
      <x:c r="J96" s="9"/>
      <x:c r="K96" s="10"/>
      <x:c r="L96" s="7"/>
      <x:c r="M96" s="8"/>
      <x:c r="N96" s="17"/>
      <x:c r="O96" s="17"/>
    </x:row>
    <x:row r="97" ht="15" hidden="0" customHeight="1">
      <x:c r="A97" s="7"/>
      <x:c r="B97" s="7"/>
      <x:c r="C97" s="7"/>
      <x:c r="D97" s="8"/>
      <x:c r="E97" s="7"/>
      <x:c r="F97" s="7"/>
      <x:c r="G97" s="7"/>
      <x:c r="H97" s="7"/>
      <x:c r="I97" s="7"/>
      <x:c r="J97" s="9"/>
      <x:c r="K97" s="10"/>
      <x:c r="L97" s="7"/>
      <x:c r="M97" s="8"/>
      <x:c r="N97" s="17"/>
      <x:c r="O97" s="17"/>
    </x:row>
    <x:row r="98" ht="15" hidden="0" customHeight="1">
      <x:c r="A98" s="7"/>
      <x:c r="B98" s="7"/>
      <x:c r="C98" s="7"/>
      <x:c r="D98" s="8"/>
      <x:c r="E98" s="7"/>
      <x:c r="F98" s="7"/>
      <x:c r="G98" s="7"/>
      <x:c r="H98" s="7"/>
      <x:c r="I98" s="7"/>
      <x:c r="J98" s="9"/>
      <x:c r="K98" s="10"/>
      <x:c r="L98" s="7"/>
      <x:c r="M98" s="8"/>
      <x:c r="N98" s="17"/>
      <x:c r="O98" s="17"/>
    </x:row>
    <x:row r="99" ht="15" hidden="0" customHeight="1">
      <x:c r="A99" s="7"/>
      <x:c r="B99" s="7"/>
      <x:c r="C99" s="7"/>
      <x:c r="D99" s="8"/>
      <x:c r="E99" s="7"/>
      <x:c r="F99" s="7"/>
      <x:c r="G99" s="7"/>
      <x:c r="H99" s="7"/>
      <x:c r="I99" s="7"/>
      <x:c r="J99" s="9"/>
      <x:c r="K99" s="10"/>
      <x:c r="L99" s="7"/>
      <x:c r="M99" s="8"/>
      <x:c r="N99" s="17"/>
      <x:c r="O99" s="17"/>
    </x:row>
    <x:row r="100" ht="15" hidden="0" customHeight="1">
      <x:c r="A100" s="7"/>
      <x:c r="B100" s="7"/>
      <x:c r="C100" s="7"/>
      <x:c r="D100" s="8"/>
      <x:c r="E100" s="7"/>
      <x:c r="F100" s="7"/>
      <x:c r="G100" s="7"/>
      <x:c r="H100" s="7"/>
      <x:c r="I100" s="7"/>
      <x:c r="J100" s="9"/>
      <x:c r="K100" s="10"/>
      <x:c r="L100" s="7"/>
      <x:c r="M100" s="8"/>
      <x:c r="N100" s="17"/>
      <x:c r="O100" s="17"/>
    </x:row>
    <x:row r="101" ht="15" hidden="0" customHeight="1">
      <x:c r="A101" s="7"/>
      <x:c r="B101" s="7"/>
      <x:c r="C101" s="7"/>
      <x:c r="D101" s="8"/>
      <x:c r="E101" s="7"/>
      <x:c r="F101" s="7"/>
      <x:c r="G101" s="7"/>
      <x:c r="H101" s="7"/>
      <x:c r="I101" s="7"/>
      <x:c r="J101" s="9"/>
      <x:c r="K101" s="10"/>
      <x:c r="L101" s="7"/>
      <x:c r="M101" s="8"/>
      <x:c r="N101" s="17"/>
      <x:c r="O101" s="17"/>
    </x:row>
    <x:row r="102" ht="15" hidden="0" customHeight="1">
      <x:c r="A102" s="7"/>
      <x:c r="B102" s="7"/>
      <x:c r="C102" s="7"/>
      <x:c r="D102" s="8"/>
      <x:c r="E102" s="7"/>
      <x:c r="F102" s="7"/>
      <x:c r="G102" s="7"/>
      <x:c r="H102" s="7"/>
      <x:c r="I102" s="7"/>
      <x:c r="J102" s="9"/>
      <x:c r="K102" s="10"/>
      <x:c r="L102" s="7"/>
      <x:c r="M102" s="8"/>
      <x:c r="N102" s="17"/>
      <x:c r="O102" s="17"/>
    </x:row>
    <x:row r="103" ht="15" hidden="0" customHeight="1">
      <x:c r="A103" s="7"/>
      <x:c r="B103" s="7"/>
      <x:c r="C103" s="7"/>
      <x:c r="D103" s="8"/>
      <x:c r="E103" s="7"/>
      <x:c r="F103" s="7"/>
      <x:c r="G103" s="7"/>
      <x:c r="H103" s="7"/>
      <x:c r="I103" s="7"/>
      <x:c r="J103" s="9"/>
      <x:c r="K103" s="10"/>
      <x:c r="L103" s="7"/>
      <x:c r="M103" s="8"/>
      <x:c r="N103" s="17"/>
      <x:c r="O103" s="17"/>
    </x:row>
    <x:row r="104" ht="15" hidden="0" customHeight="1">
      <x:c r="A104" s="7"/>
      <x:c r="B104" s="7"/>
      <x:c r="C104" s="7"/>
      <x:c r="D104" s="8"/>
      <x:c r="E104" s="7"/>
      <x:c r="F104" s="7"/>
      <x:c r="G104" s="7"/>
      <x:c r="H104" s="7"/>
      <x:c r="I104" s="7"/>
      <x:c r="J104" s="9"/>
      <x:c r="K104" s="10"/>
      <x:c r="L104" s="7"/>
      <x:c r="M104" s="8"/>
      <x:c r="N104" s="17"/>
      <x:c r="O104" s="17"/>
    </x:row>
    <x:row r="105" ht="15" hidden="0" customHeight="1">
      <x:c r="A105" s="7"/>
      <x:c r="B105" s="7"/>
      <x:c r="C105" s="7"/>
      <x:c r="D105" s="8"/>
      <x:c r="E105" s="7"/>
      <x:c r="F105" s="7"/>
      <x:c r="G105" s="7"/>
      <x:c r="H105" s="7"/>
      <x:c r="I105" s="7"/>
      <x:c r="J105" s="9"/>
      <x:c r="K105" s="10"/>
      <x:c r="L105" s="7"/>
      <x:c r="M105" s="8"/>
      <x:c r="N105" s="17"/>
      <x:c r="O105" s="17"/>
    </x:row>
    <x:row r="106" ht="15" hidden="0" customHeight="1">
      <x:c r="A106" s="7"/>
      <x:c r="B106" s="7"/>
      <x:c r="C106" s="7"/>
      <x:c r="D106" s="8"/>
      <x:c r="E106" s="7"/>
      <x:c r="F106" s="7"/>
      <x:c r="G106" s="7"/>
      <x:c r="H106" s="7"/>
      <x:c r="I106" s="7"/>
      <x:c r="J106" s="9"/>
      <x:c r="K106" s="10"/>
      <x:c r="L106" s="7"/>
      <x:c r="M106" s="8"/>
      <x:c r="N106" s="17"/>
      <x:c r="O106" s="17"/>
    </x:row>
    <x:row r="107" ht="15" hidden="0" customHeight="1">
      <x:c r="A107" s="7"/>
      <x:c r="B107" s="7"/>
      <x:c r="C107" s="7"/>
      <x:c r="D107" s="8"/>
      <x:c r="E107" s="7"/>
      <x:c r="F107" s="7"/>
      <x:c r="G107" s="7"/>
      <x:c r="H107" s="7"/>
      <x:c r="I107" s="7"/>
      <x:c r="J107" s="9"/>
      <x:c r="K107" s="10"/>
      <x:c r="L107" s="7"/>
      <x:c r="M107" s="8"/>
      <x:c r="N107" s="17"/>
      <x:c r="O107" s="17"/>
    </x:row>
    <x:row r="108" ht="15" hidden="0" customHeight="1">
      <x:c r="A108" s="7"/>
      <x:c r="B108" s="7"/>
      <x:c r="C108" s="7"/>
      <x:c r="D108" s="8"/>
      <x:c r="E108" s="7"/>
      <x:c r="F108" s="7"/>
      <x:c r="G108" s="7"/>
      <x:c r="H108" s="7"/>
      <x:c r="I108" s="7"/>
      <x:c r="J108" s="9"/>
      <x:c r="K108" s="10"/>
      <x:c r="L108" s="7"/>
      <x:c r="M108" s="8"/>
      <x:c r="N108" s="17"/>
      <x:c r="O108" s="17"/>
    </x:row>
    <x:row r="109" ht="15" hidden="0" customHeight="1">
      <x:c r="A109" s="7"/>
      <x:c r="B109" s="7"/>
      <x:c r="C109" s="7"/>
      <x:c r="D109" s="8"/>
      <x:c r="E109" s="7"/>
      <x:c r="F109" s="7"/>
      <x:c r="G109" s="7"/>
      <x:c r="H109" s="7"/>
      <x:c r="I109" s="7"/>
      <x:c r="J109" s="9"/>
      <x:c r="K109" s="10"/>
      <x:c r="L109" s="7"/>
      <x:c r="M109" s="8"/>
      <x:c r="N109" s="17"/>
      <x:c r="O109" s="17"/>
    </x:row>
    <x:row r="110" ht="15" hidden="0" customHeight="1">
      <x:c r="A110" s="7"/>
      <x:c r="B110" s="7"/>
      <x:c r="C110" s="7"/>
      <x:c r="D110" s="8"/>
      <x:c r="E110" s="7"/>
      <x:c r="F110" s="7"/>
      <x:c r="G110" s="7"/>
      <x:c r="H110" s="7"/>
      <x:c r="I110" s="7"/>
      <x:c r="J110" s="9"/>
      <x:c r="K110" s="10"/>
      <x:c r="L110" s="7"/>
      <x:c r="M110" s="8"/>
      <x:c r="N110" s="17"/>
      <x:c r="O110" s="17"/>
    </x:row>
    <x:row r="111" ht="15" hidden="0" customHeight="1">
      <x:c r="A111" s="7"/>
      <x:c r="B111" s="7"/>
      <x:c r="C111" s="7"/>
      <x:c r="D111" s="8"/>
      <x:c r="E111" s="7"/>
      <x:c r="F111" s="7"/>
      <x:c r="G111" s="7"/>
      <x:c r="H111" s="7"/>
      <x:c r="I111" s="7"/>
      <x:c r="J111" s="9"/>
      <x:c r="K111" s="10"/>
      <x:c r="L111" s="7"/>
      <x:c r="M111" s="8"/>
      <x:c r="N111" s="17"/>
      <x:c r="O111" s="17"/>
    </x:row>
    <x:row r="112" ht="15" hidden="0" customHeight="1">
      <x:c r="A112" s="7"/>
      <x:c r="B112" s="7"/>
      <x:c r="C112" s="7"/>
      <x:c r="D112" s="8"/>
      <x:c r="E112" s="7"/>
      <x:c r="F112" s="7"/>
      <x:c r="G112" s="7"/>
      <x:c r="H112" s="7"/>
      <x:c r="I112" s="7"/>
      <x:c r="J112" s="9"/>
      <x:c r="K112" s="10"/>
      <x:c r="L112" s="7"/>
      <x:c r="M112" s="8"/>
      <x:c r="N112" s="17"/>
      <x:c r="O112" s="17"/>
    </x:row>
    <x:row r="113" ht="15" hidden="0" customHeight="1">
      <x:c r="A113" s="7"/>
      <x:c r="B113" s="7"/>
      <x:c r="C113" s="7"/>
      <x:c r="D113" s="8"/>
      <x:c r="E113" s="7"/>
      <x:c r="F113" s="7"/>
      <x:c r="G113" s="7"/>
      <x:c r="H113" s="7"/>
      <x:c r="I113" s="7"/>
      <x:c r="J113" s="9"/>
      <x:c r="K113" s="10"/>
      <x:c r="L113" s="7"/>
      <x:c r="M113" s="8"/>
      <x:c r="N113" s="17"/>
      <x:c r="O113" s="17"/>
    </x:row>
    <x:row r="114" ht="15" hidden="0" customHeight="1">
      <x:c r="A114" s="7"/>
      <x:c r="B114" s="7"/>
      <x:c r="C114" s="7"/>
      <x:c r="D114" s="8"/>
      <x:c r="E114" s="7"/>
      <x:c r="F114" s="7"/>
      <x:c r="G114" s="7"/>
      <x:c r="H114" s="7"/>
      <x:c r="I114" s="7"/>
      <x:c r="J114" s="9"/>
      <x:c r="K114" s="10"/>
      <x:c r="L114" s="7"/>
      <x:c r="M114" s="8"/>
      <x:c r="N114" s="17"/>
      <x:c r="O114" s="17"/>
    </x:row>
    <x:row r="115" ht="15" hidden="0" customHeight="1">
      <x:c r="A115" s="7"/>
      <x:c r="B115" s="7"/>
      <x:c r="C115" s="7"/>
      <x:c r="D115" s="8"/>
      <x:c r="E115" s="7"/>
      <x:c r="F115" s="7"/>
      <x:c r="G115" s="7"/>
      <x:c r="H115" s="7"/>
      <x:c r="I115" s="7"/>
      <x:c r="J115" s="9"/>
      <x:c r="K115" s="10"/>
      <x:c r="L115" s="7"/>
      <x:c r="M115" s="8"/>
      <x:c r="N115" s="17"/>
      <x:c r="O115" s="17"/>
    </x:row>
    <x:row r="116" ht="15" hidden="0" customHeight="1">
      <x:c r="A116" s="7"/>
      <x:c r="B116" s="7"/>
      <x:c r="C116" s="7"/>
      <x:c r="D116" s="8"/>
      <x:c r="E116" s="7"/>
      <x:c r="F116" s="7"/>
      <x:c r="G116" s="7"/>
      <x:c r="H116" s="7"/>
      <x:c r="I116" s="7"/>
      <x:c r="J116" s="9"/>
      <x:c r="K116" s="10"/>
      <x:c r="L116" s="7"/>
      <x:c r="M116" s="8"/>
      <x:c r="N116" s="17"/>
      <x:c r="O116" s="17"/>
    </x:row>
    <x:row r="117" ht="15" hidden="0" customHeight="1">
      <x:c r="A117" s="7"/>
      <x:c r="B117" s="7"/>
      <x:c r="C117" s="7"/>
      <x:c r="D117" s="8"/>
      <x:c r="E117" s="7"/>
      <x:c r="F117" s="7"/>
      <x:c r="G117" s="7"/>
      <x:c r="H117" s="7"/>
      <x:c r="I117" s="7"/>
      <x:c r="J117" s="9"/>
      <x:c r="K117" s="10"/>
      <x:c r="L117" s="7"/>
      <x:c r="M117" s="8"/>
      <x:c r="N117" s="17"/>
      <x:c r="O117" s="17"/>
    </x:row>
    <x:row r="118" ht="15" hidden="0" customHeight="1">
      <x:c r="A118" s="7"/>
      <x:c r="B118" s="7"/>
      <x:c r="C118" s="7"/>
      <x:c r="D118" s="8"/>
      <x:c r="E118" s="7"/>
      <x:c r="F118" s="7"/>
      <x:c r="G118" s="7"/>
      <x:c r="H118" s="7"/>
      <x:c r="I118" s="7"/>
      <x:c r="J118" s="9"/>
      <x:c r="K118" s="10"/>
      <x:c r="L118" s="7"/>
      <x:c r="M118" s="8"/>
      <x:c r="N118" s="17"/>
      <x:c r="O118" s="17"/>
    </x:row>
    <x:row r="119" ht="15" hidden="0" customHeight="1">
      <x:c r="A119" s="7"/>
      <x:c r="B119" s="7"/>
      <x:c r="C119" s="7"/>
      <x:c r="D119" s="8"/>
      <x:c r="E119" s="7"/>
      <x:c r="F119" s="7"/>
      <x:c r="G119" s="7"/>
      <x:c r="H119" s="7"/>
      <x:c r="I119" s="7"/>
      <x:c r="J119" s="9"/>
      <x:c r="K119" s="10"/>
      <x:c r="L119" s="7"/>
      <x:c r="M119" s="8"/>
      <x:c r="N119" s="17"/>
      <x:c r="O119" s="17"/>
    </x:row>
    <x:row r="120" ht="15" hidden="0" customHeight="1">
      <x:c r="A120" s="7"/>
      <x:c r="B120" s="7"/>
      <x:c r="C120" s="7"/>
      <x:c r="D120" s="8"/>
      <x:c r="E120" s="7"/>
      <x:c r="F120" s="7"/>
      <x:c r="G120" s="7"/>
      <x:c r="H120" s="7"/>
      <x:c r="I120" s="7"/>
      <x:c r="J120" s="9"/>
      <x:c r="K120" s="10"/>
      <x:c r="L120" s="7"/>
      <x:c r="M120" s="8"/>
      <x:c r="N120" s="17"/>
      <x:c r="O120" s="17"/>
    </x:row>
    <x:row r="121" ht="15" hidden="0" customHeight="1">
      <x:c r="A121" s="7"/>
      <x:c r="B121" s="7"/>
      <x:c r="C121" s="7"/>
      <x:c r="D121" s="8"/>
      <x:c r="E121" s="7"/>
      <x:c r="F121" s="7"/>
      <x:c r="G121" s="7"/>
      <x:c r="H121" s="7"/>
      <x:c r="I121" s="7"/>
      <x:c r="J121" s="9"/>
      <x:c r="K121" s="10"/>
      <x:c r="L121" s="7"/>
      <x:c r="M121" s="8"/>
      <x:c r="N121" s="17"/>
      <x:c r="O121" s="17"/>
    </x:row>
    <x:row r="122" ht="15" hidden="0" customHeight="1">
      <x:c r="A122" s="7"/>
      <x:c r="B122" s="7"/>
      <x:c r="C122" s="7"/>
      <x:c r="D122" s="8"/>
      <x:c r="E122" s="7"/>
      <x:c r="F122" s="7"/>
      <x:c r="G122" s="7"/>
      <x:c r="H122" s="7"/>
      <x:c r="I122" s="7"/>
      <x:c r="J122" s="9"/>
      <x:c r="K122" s="10"/>
      <x:c r="L122" s="7"/>
      <x:c r="M122" s="8"/>
      <x:c r="N122" s="17"/>
      <x:c r="O122" s="17"/>
    </x:row>
    <x:row r="123" ht="15" hidden="0" customHeight="1">
      <x:c r="A123" s="7"/>
      <x:c r="B123" s="7"/>
      <x:c r="C123" s="7"/>
      <x:c r="D123" s="8"/>
      <x:c r="E123" s="7"/>
      <x:c r="F123" s="7"/>
      <x:c r="G123" s="7"/>
      <x:c r="H123" s="7"/>
      <x:c r="I123" s="7"/>
      <x:c r="J123" s="9"/>
      <x:c r="K123" s="10"/>
      <x:c r="L123" s="7"/>
      <x:c r="M123" s="8"/>
      <x:c r="N123" s="17"/>
      <x:c r="O123" s="17"/>
    </x:row>
    <x:row r="124" ht="15" hidden="0" customHeight="1">
      <x:c r="A124" s="7"/>
      <x:c r="B124" s="7"/>
      <x:c r="C124" s="7"/>
      <x:c r="D124" s="8"/>
      <x:c r="E124" s="7"/>
      <x:c r="F124" s="7"/>
      <x:c r="G124" s="7"/>
      <x:c r="H124" s="7"/>
      <x:c r="I124" s="7"/>
      <x:c r="J124" s="9"/>
      <x:c r="K124" s="10"/>
      <x:c r="L124" s="7"/>
      <x:c r="M124" s="8"/>
      <x:c r="N124" s="17"/>
      <x:c r="O124" s="17"/>
    </x:row>
    <x:row r="125" ht="15" hidden="0" customHeight="1">
      <x:c r="A125" s="7"/>
      <x:c r="B125" s="7"/>
      <x:c r="C125" s="7"/>
      <x:c r="D125" s="8"/>
      <x:c r="E125" s="7"/>
      <x:c r="F125" s="7"/>
      <x:c r="G125" s="7"/>
      <x:c r="H125" s="7"/>
      <x:c r="I125" s="7"/>
      <x:c r="J125" s="9"/>
      <x:c r="K125" s="10"/>
      <x:c r="L125" s="7"/>
      <x:c r="M125" s="8"/>
      <x:c r="N125" s="17"/>
      <x:c r="O125" s="17"/>
    </x:row>
    <x:row r="126" ht="15" hidden="0" customHeight="1">
      <x:c r="A126" s="7"/>
      <x:c r="B126" s="7"/>
      <x:c r="C126" s="7"/>
      <x:c r="D126" s="8"/>
      <x:c r="E126" s="7"/>
      <x:c r="F126" s="7"/>
      <x:c r="G126" s="7"/>
      <x:c r="H126" s="7"/>
      <x:c r="I126" s="7"/>
      <x:c r="J126" s="9"/>
      <x:c r="K126" s="10"/>
      <x:c r="L126" s="7"/>
      <x:c r="M126" s="8"/>
      <x:c r="N126" s="17"/>
      <x:c r="O126" s="17"/>
    </x:row>
    <x:row r="127" ht="15" hidden="0" customHeight="1">
      <x:c r="A127" s="7"/>
      <x:c r="B127" s="7"/>
      <x:c r="C127" s="7"/>
      <x:c r="D127" s="8"/>
      <x:c r="E127" s="7"/>
      <x:c r="F127" s="7"/>
      <x:c r="G127" s="7"/>
      <x:c r="H127" s="7"/>
      <x:c r="I127" s="7"/>
      <x:c r="J127" s="9"/>
      <x:c r="K127" s="10"/>
      <x:c r="L127" s="7"/>
      <x:c r="M127" s="8"/>
      <x:c r="N127" s="17"/>
      <x:c r="O127" s="17"/>
    </x:row>
    <x:row r="128" ht="15" hidden="0" customHeight="1">
      <x:c r="A128" s="7"/>
      <x:c r="B128" s="7"/>
      <x:c r="C128" s="7"/>
      <x:c r="D128" s="8"/>
      <x:c r="E128" s="7"/>
      <x:c r="F128" s="7"/>
      <x:c r="G128" s="7"/>
      <x:c r="H128" s="7"/>
      <x:c r="I128" s="7"/>
      <x:c r="J128" s="9"/>
      <x:c r="K128" s="10"/>
      <x:c r="L128" s="7"/>
      <x:c r="M128" s="8"/>
      <x:c r="N128" s="17"/>
      <x:c r="O128" s="17"/>
    </x:row>
    <x:row r="129" ht="15" hidden="0" customHeight="1">
      <x:c r="A129" s="7"/>
      <x:c r="B129" s="7"/>
      <x:c r="C129" s="7"/>
      <x:c r="D129" s="8"/>
      <x:c r="E129" s="7"/>
      <x:c r="F129" s="7"/>
      <x:c r="G129" s="7"/>
      <x:c r="H129" s="7"/>
      <x:c r="I129" s="7"/>
      <x:c r="J129" s="9"/>
      <x:c r="K129" s="10"/>
      <x:c r="L129" s="7"/>
      <x:c r="M129" s="8"/>
      <x:c r="N129" s="17"/>
      <x:c r="O129" s="17"/>
    </x:row>
    <x:row r="130" ht="15" hidden="0" customHeight="1">
      <x:c r="A130" s="7"/>
      <x:c r="B130" s="7"/>
      <x:c r="C130" s="7"/>
      <x:c r="D130" s="8"/>
      <x:c r="E130" s="7"/>
      <x:c r="F130" s="7"/>
      <x:c r="G130" s="7"/>
      <x:c r="H130" s="7"/>
      <x:c r="I130" s="7"/>
      <x:c r="J130" s="9"/>
      <x:c r="K130" s="10"/>
      <x:c r="L130" s="7"/>
      <x:c r="M130" s="8"/>
      <x:c r="N130" s="17"/>
      <x:c r="O130" s="17"/>
    </x:row>
    <x:row r="131" ht="15" hidden="0" customHeight="1">
      <x:c r="A131" s="7"/>
      <x:c r="B131" s="7"/>
      <x:c r="C131" s="7"/>
      <x:c r="D131" s="8"/>
      <x:c r="E131" s="7"/>
      <x:c r="F131" s="7"/>
      <x:c r="G131" s="7"/>
      <x:c r="H131" s="7"/>
      <x:c r="I131" s="7"/>
      <x:c r="J131" s="9"/>
      <x:c r="K131" s="10"/>
      <x:c r="L131" s="7"/>
      <x:c r="M131" s="8"/>
      <x:c r="N131" s="17"/>
      <x:c r="O131" s="17"/>
    </x:row>
    <x:row r="132" ht="15" hidden="0" customHeight="1">
      <x:c r="A132" s="7"/>
      <x:c r="B132" s="7"/>
      <x:c r="C132" s="7"/>
      <x:c r="D132" s="8"/>
      <x:c r="E132" s="7"/>
      <x:c r="F132" s="7"/>
      <x:c r="G132" s="7"/>
      <x:c r="H132" s="7"/>
      <x:c r="I132" s="7"/>
      <x:c r="J132" s="9"/>
      <x:c r="K132" s="10"/>
      <x:c r="L132" s="7"/>
      <x:c r="M132" s="8"/>
      <x:c r="N132" s="17"/>
      <x:c r="O132" s="17"/>
    </x:row>
    <x:row r="133" ht="15" hidden="0" customHeight="1">
      <x:c r="A133" s="7"/>
      <x:c r="B133" s="7"/>
      <x:c r="C133" s="7"/>
      <x:c r="D133" s="8"/>
      <x:c r="E133" s="7"/>
      <x:c r="F133" s="7"/>
      <x:c r="G133" s="7"/>
      <x:c r="H133" s="7"/>
      <x:c r="I133" s="7"/>
      <x:c r="J133" s="9"/>
      <x:c r="K133" s="10"/>
      <x:c r="L133" s="7"/>
      <x:c r="M133" s="8"/>
      <x:c r="N133" s="17"/>
      <x:c r="O133" s="17"/>
    </x:row>
    <x:row r="134" ht="15" hidden="0" customHeight="1">
      <x:c r="A134" s="7"/>
      <x:c r="B134" s="7"/>
      <x:c r="C134" s="7"/>
      <x:c r="D134" s="8"/>
      <x:c r="E134" s="7"/>
      <x:c r="F134" s="7"/>
      <x:c r="G134" s="7"/>
      <x:c r="H134" s="7"/>
      <x:c r="I134" s="7"/>
      <x:c r="J134" s="9"/>
      <x:c r="K134" s="10"/>
      <x:c r="L134" s="7"/>
      <x:c r="M134" s="8"/>
      <x:c r="N134" s="17"/>
      <x:c r="O134" s="17"/>
    </x:row>
    <x:row r="135" ht="15" hidden="0" customHeight="1">
      <x:c r="A135" s="7"/>
      <x:c r="B135" s="7"/>
      <x:c r="C135" s="7"/>
      <x:c r="D135" s="8"/>
      <x:c r="E135" s="7"/>
      <x:c r="F135" s="7"/>
      <x:c r="G135" s="7"/>
      <x:c r="H135" s="7"/>
      <x:c r="I135" s="7"/>
      <x:c r="J135" s="9"/>
      <x:c r="K135" s="10"/>
      <x:c r="L135" s="7"/>
      <x:c r="M135" s="8"/>
      <x:c r="N135" s="17"/>
      <x:c r="O135" s="17"/>
    </x:row>
    <x:row r="136" ht="15" hidden="0" customHeight="1">
      <x:c r="A136" s="7"/>
      <x:c r="B136" s="7"/>
      <x:c r="C136" s="7"/>
      <x:c r="D136" s="8"/>
      <x:c r="E136" s="7"/>
      <x:c r="F136" s="7"/>
      <x:c r="G136" s="7"/>
      <x:c r="H136" s="7"/>
      <x:c r="I136" s="7"/>
      <x:c r="J136" s="9"/>
      <x:c r="K136" s="10"/>
      <x:c r="L136" s="7"/>
      <x:c r="M136" s="8"/>
      <x:c r="N136" s="17"/>
      <x:c r="O136" s="17"/>
    </x:row>
    <x:row r="137" ht="15" hidden="0" customHeight="1">
      <x:c r="A137" s="7"/>
      <x:c r="B137" s="7"/>
      <x:c r="C137" s="7"/>
      <x:c r="D137" s="8"/>
      <x:c r="E137" s="7"/>
      <x:c r="F137" s="7"/>
      <x:c r="G137" s="7"/>
      <x:c r="H137" s="7"/>
      <x:c r="I137" s="7"/>
      <x:c r="J137" s="9"/>
      <x:c r="K137" s="10"/>
      <x:c r="L137" s="7"/>
      <x:c r="M137" s="8"/>
      <x:c r="N137" s="17"/>
      <x:c r="O137" s="17"/>
    </x:row>
    <x:row r="138" ht="15" hidden="0" customHeight="1">
      <x:c r="A138" s="7"/>
      <x:c r="B138" s="7"/>
      <x:c r="C138" s="7"/>
      <x:c r="D138" s="8"/>
      <x:c r="E138" s="7"/>
      <x:c r="F138" s="7"/>
      <x:c r="G138" s="7"/>
      <x:c r="H138" s="7"/>
      <x:c r="I138" s="7"/>
      <x:c r="J138" s="9"/>
      <x:c r="K138" s="10"/>
      <x:c r="L138" s="7"/>
      <x:c r="M138" s="8"/>
      <x:c r="N138" s="17"/>
      <x:c r="O138" s="17"/>
    </x:row>
    <x:row r="139" ht="15" hidden="0" customHeight="1">
      <x:c r="A139" s="7"/>
      <x:c r="B139" s="7"/>
      <x:c r="C139" s="7"/>
      <x:c r="D139" s="8"/>
      <x:c r="E139" s="7"/>
      <x:c r="F139" s="7"/>
      <x:c r="G139" s="7"/>
      <x:c r="H139" s="7"/>
      <x:c r="I139" s="7"/>
      <x:c r="J139" s="9"/>
      <x:c r="K139" s="10"/>
      <x:c r="L139" s="7"/>
      <x:c r="M139" s="8"/>
      <x:c r="N139" s="17"/>
      <x:c r="O139" s="17"/>
    </x:row>
    <x:row r="140" ht="15" hidden="0" customHeight="1">
      <x:c r="A140" s="7"/>
      <x:c r="B140" s="7"/>
      <x:c r="C140" s="7"/>
      <x:c r="D140" s="8"/>
      <x:c r="E140" s="7"/>
      <x:c r="F140" s="7"/>
      <x:c r="G140" s="7"/>
      <x:c r="H140" s="7"/>
      <x:c r="I140" s="7"/>
      <x:c r="J140" s="9"/>
      <x:c r="K140" s="10"/>
      <x:c r="L140" s="7"/>
      <x:c r="M140" s="8"/>
      <x:c r="N140" s="17"/>
      <x:c r="O140" s="17"/>
    </x:row>
    <x:row r="141" ht="15" hidden="0" customHeight="1">
      <x:c r="A141" s="7"/>
      <x:c r="B141" s="7"/>
      <x:c r="C141" s="7"/>
      <x:c r="D141" s="8"/>
      <x:c r="E141" s="7"/>
      <x:c r="F141" s="7"/>
      <x:c r="G141" s="7"/>
      <x:c r="H141" s="7"/>
      <x:c r="I141" s="7"/>
      <x:c r="J141" s="9"/>
      <x:c r="K141" s="10"/>
      <x:c r="L141" s="7"/>
      <x:c r="M141" s="8"/>
      <x:c r="N141" s="17"/>
      <x:c r="O141" s="17"/>
    </x:row>
    <x:row r="142" ht="15" hidden="0" customHeight="1">
      <x:c r="A142" s="7"/>
      <x:c r="B142" s="7"/>
      <x:c r="C142" s="7"/>
      <x:c r="D142" s="8"/>
      <x:c r="E142" s="7"/>
      <x:c r="F142" s="7"/>
      <x:c r="G142" s="7"/>
      <x:c r="H142" s="7"/>
      <x:c r="I142" s="7"/>
      <x:c r="J142" s="9"/>
      <x:c r="K142" s="10"/>
      <x:c r="L142" s="7"/>
      <x:c r="M142" s="8"/>
      <x:c r="N142" s="17"/>
      <x:c r="O142" s="17"/>
    </x:row>
    <x:row r="143" ht="15" hidden="0" customHeight="1">
      <x:c r="A143" s="7"/>
      <x:c r="B143" s="7"/>
      <x:c r="C143" s="7"/>
      <x:c r="D143" s="8"/>
      <x:c r="E143" s="7"/>
      <x:c r="F143" s="7"/>
      <x:c r="G143" s="7"/>
      <x:c r="H143" s="7"/>
      <x:c r="I143" s="7"/>
      <x:c r="J143" s="9"/>
      <x:c r="K143" s="10"/>
      <x:c r="L143" s="7"/>
      <x:c r="M143" s="8"/>
      <x:c r="N143" s="17"/>
      <x:c r="O143" s="17"/>
    </x:row>
    <x:row r="144" ht="15" hidden="0" customHeight="1">
      <x:c r="A144" s="7"/>
      <x:c r="B144" s="7"/>
      <x:c r="C144" s="7"/>
      <x:c r="D144" s="8"/>
      <x:c r="E144" s="7"/>
      <x:c r="F144" s="7"/>
      <x:c r="G144" s="7"/>
      <x:c r="H144" s="7"/>
      <x:c r="I144" s="7"/>
      <x:c r="J144" s="9"/>
      <x:c r="K144" s="10"/>
      <x:c r="L144" s="7"/>
      <x:c r="M144" s="8"/>
      <x:c r="N144" s="17"/>
      <x:c r="O144" s="17"/>
    </x:row>
    <x:row r="145" ht="15" hidden="0" customHeight="1">
      <x:c r="A145" s="7"/>
      <x:c r="B145" s="7"/>
      <x:c r="C145" s="7"/>
      <x:c r="D145" s="8"/>
      <x:c r="E145" s="7"/>
      <x:c r="F145" s="7"/>
      <x:c r="G145" s="7"/>
      <x:c r="H145" s="7"/>
      <x:c r="I145" s="7"/>
      <x:c r="J145" s="9"/>
      <x:c r="K145" s="10"/>
      <x:c r="L145" s="7"/>
      <x:c r="M145" s="8"/>
      <x:c r="N145" s="17"/>
      <x:c r="O145" s="17"/>
    </x:row>
    <x:row r="146" ht="15" hidden="0" customHeight="1">
      <x:c r="A146" s="7"/>
      <x:c r="B146" s="7"/>
      <x:c r="C146" s="7"/>
      <x:c r="D146" s="8"/>
      <x:c r="E146" s="7"/>
      <x:c r="F146" s="7"/>
      <x:c r="G146" s="7"/>
      <x:c r="H146" s="7"/>
      <x:c r="I146" s="7"/>
      <x:c r="J146" s="9"/>
      <x:c r="K146" s="10"/>
      <x:c r="L146" s="7"/>
      <x:c r="M146" s="8"/>
      <x:c r="N146" s="17"/>
      <x:c r="O146" s="17"/>
    </x:row>
    <x:row r="147" ht="15" hidden="0" customHeight="1">
      <x:c r="A147" s="7"/>
      <x:c r="B147" s="7"/>
      <x:c r="C147" s="7"/>
      <x:c r="D147" s="8"/>
      <x:c r="E147" s="7"/>
      <x:c r="F147" s="7"/>
      <x:c r="G147" s="7"/>
      <x:c r="H147" s="7"/>
      <x:c r="I147" s="7"/>
      <x:c r="J147" s="9"/>
      <x:c r="K147" s="10"/>
      <x:c r="L147" s="7"/>
      <x:c r="M147" s="8"/>
      <x:c r="N147" s="17"/>
      <x:c r="O147" s="17"/>
    </x:row>
    <x:row r="148" ht="15" hidden="0" customHeight="1">
      <x:c r="A148" s="7"/>
      <x:c r="B148" s="7"/>
      <x:c r="C148" s="7"/>
      <x:c r="D148" s="8"/>
      <x:c r="E148" s="7"/>
      <x:c r="F148" s="7"/>
      <x:c r="G148" s="7"/>
      <x:c r="H148" s="7"/>
      <x:c r="I148" s="7"/>
      <x:c r="J148" s="9"/>
      <x:c r="K148" s="10"/>
      <x:c r="L148" s="7"/>
      <x:c r="M148" s="8"/>
      <x:c r="N148" s="17"/>
      <x:c r="O148" s="17"/>
    </x:row>
    <x:row r="149" ht="15" hidden="0" customHeight="1">
      <x:c r="A149" s="7"/>
      <x:c r="B149" s="7"/>
      <x:c r="C149" s="7"/>
      <x:c r="D149" s="8"/>
      <x:c r="E149" s="7"/>
      <x:c r="F149" s="7"/>
      <x:c r="G149" s="7"/>
      <x:c r="H149" s="7"/>
      <x:c r="I149" s="7"/>
      <x:c r="J149" s="9"/>
      <x:c r="K149" s="10"/>
      <x:c r="L149" s="7"/>
      <x:c r="M149" s="8"/>
      <x:c r="N149" s="17"/>
      <x:c r="O149" s="17"/>
    </x:row>
    <x:row r="150" ht="15" hidden="0" customHeight="1">
      <x:c r="A150" s="7"/>
      <x:c r="B150" s="7"/>
      <x:c r="C150" s="7"/>
      <x:c r="D150" s="8"/>
      <x:c r="E150" s="7"/>
      <x:c r="F150" s="7"/>
      <x:c r="G150" s="7"/>
      <x:c r="H150" s="7"/>
      <x:c r="I150" s="7"/>
      <x:c r="J150" s="9"/>
      <x:c r="K150" s="10"/>
      <x:c r="L150" s="7"/>
      <x:c r="M150" s="8"/>
      <x:c r="N150" s="17"/>
      <x:c r="O150" s="17"/>
    </x:row>
    <x:row r="151" ht="15" hidden="0" customHeight="1">
      <x:c r="A151" s="7"/>
      <x:c r="B151" s="7"/>
      <x:c r="C151" s="7"/>
      <x:c r="D151" s="8"/>
      <x:c r="E151" s="7"/>
      <x:c r="F151" s="7"/>
      <x:c r="G151" s="7"/>
      <x:c r="H151" s="7"/>
      <x:c r="I151" s="7"/>
      <x:c r="J151" s="9"/>
      <x:c r="K151" s="10"/>
      <x:c r="L151" s="7"/>
      <x:c r="M151" s="8"/>
      <x:c r="N151" s="17"/>
      <x:c r="O151" s="17"/>
    </x:row>
    <x:row r="152" ht="15" hidden="0" customHeight="1">
      <x:c r="A152" s="7"/>
      <x:c r="B152" s="7"/>
      <x:c r="C152" s="7"/>
      <x:c r="D152" s="8"/>
      <x:c r="E152" s="7"/>
      <x:c r="F152" s="7"/>
      <x:c r="G152" s="7"/>
      <x:c r="H152" s="7"/>
      <x:c r="I152" s="7"/>
      <x:c r="J152" s="9"/>
      <x:c r="K152" s="10"/>
      <x:c r="L152" s="7"/>
      <x:c r="M152" s="8"/>
      <x:c r="N152" s="17"/>
      <x:c r="O152" s="17"/>
    </x:row>
    <x:row r="153" ht="15" hidden="0" customHeight="1">
      <x:c r="A153" s="7"/>
      <x:c r="B153" s="7"/>
      <x:c r="C153" s="7"/>
      <x:c r="D153" s="8"/>
      <x:c r="E153" s="7"/>
      <x:c r="F153" s="7"/>
      <x:c r="G153" s="7"/>
      <x:c r="H153" s="7"/>
      <x:c r="I153" s="7"/>
      <x:c r="J153" s="9"/>
      <x:c r="K153" s="10"/>
      <x:c r="L153" s="7"/>
      <x:c r="M153" s="8"/>
      <x:c r="N153" s="17"/>
      <x:c r="O153" s="17"/>
    </x:row>
    <x:row r="154" ht="15" hidden="0" customHeight="1">
      <x:c r="A154" s="7"/>
      <x:c r="B154" s="7"/>
      <x:c r="C154" s="7"/>
      <x:c r="D154" s="8"/>
      <x:c r="E154" s="7"/>
      <x:c r="F154" s="7"/>
      <x:c r="G154" s="7"/>
      <x:c r="H154" s="7"/>
      <x:c r="I154" s="7"/>
      <x:c r="J154" s="9"/>
      <x:c r="K154" s="10"/>
      <x:c r="L154" s="7"/>
      <x:c r="M154" s="8"/>
      <x:c r="N154" s="17"/>
      <x:c r="O154" s="17"/>
    </x:row>
    <x:row r="155" ht="15" hidden="0" customHeight="1">
      <x:c r="A155" s="7"/>
      <x:c r="B155" s="7"/>
      <x:c r="C155" s="7"/>
      <x:c r="D155" s="8"/>
      <x:c r="E155" s="7"/>
      <x:c r="F155" s="7"/>
      <x:c r="G155" s="7"/>
      <x:c r="H155" s="7"/>
      <x:c r="I155" s="7"/>
      <x:c r="J155" s="9"/>
      <x:c r="K155" s="10"/>
      <x:c r="L155" s="7"/>
      <x:c r="M155" s="8"/>
      <x:c r="N155" s="17"/>
      <x:c r="O155" s="17"/>
    </x:row>
    <x:row r="156" ht="15" hidden="0" customHeight="1">
      <x:c r="A156" s="7"/>
      <x:c r="B156" s="7"/>
      <x:c r="C156" s="7"/>
      <x:c r="D156" s="8"/>
      <x:c r="E156" s="7"/>
      <x:c r="F156" s="7"/>
      <x:c r="G156" s="7"/>
      <x:c r="H156" s="7"/>
      <x:c r="I156" s="7"/>
      <x:c r="J156" s="9"/>
      <x:c r="K156" s="10"/>
      <x:c r="L156" s="7"/>
      <x:c r="M156" s="8"/>
      <x:c r="N156" s="17"/>
      <x:c r="O156" s="17"/>
    </x:row>
    <x:row r="157" ht="15" hidden="0" customHeight="1">
      <x:c r="A157" s="7"/>
      <x:c r="B157" s="7"/>
      <x:c r="C157" s="7"/>
      <x:c r="D157" s="8"/>
      <x:c r="E157" s="7"/>
      <x:c r="F157" s="7"/>
      <x:c r="G157" s="7"/>
      <x:c r="H157" s="7"/>
      <x:c r="I157" s="7"/>
      <x:c r="J157" s="9"/>
      <x:c r="K157" s="10"/>
      <x:c r="L157" s="7"/>
      <x:c r="M157" s="8"/>
      <x:c r="N157" s="17"/>
      <x:c r="O157" s="17"/>
    </x:row>
    <x:row r="158" ht="15" hidden="0" customHeight="1">
      <x:c r="A158" s="7"/>
      <x:c r="B158" s="7"/>
      <x:c r="C158" s="7"/>
      <x:c r="D158" s="8"/>
      <x:c r="E158" s="7"/>
      <x:c r="F158" s="7"/>
      <x:c r="G158" s="7"/>
      <x:c r="H158" s="7"/>
      <x:c r="I158" s="7"/>
      <x:c r="J158" s="9"/>
      <x:c r="K158" s="10"/>
      <x:c r="L158" s="7"/>
      <x:c r="M158" s="8"/>
      <x:c r="N158" s="17"/>
      <x:c r="O158" s="17"/>
    </x:row>
    <x:row r="159" ht="15" hidden="0" customHeight="1">
      <x:c r="A159" s="7"/>
      <x:c r="B159" s="7"/>
      <x:c r="C159" s="7"/>
      <x:c r="D159" s="8"/>
      <x:c r="E159" s="7"/>
      <x:c r="F159" s="7"/>
      <x:c r="G159" s="7"/>
      <x:c r="H159" s="7"/>
      <x:c r="I159" s="7"/>
      <x:c r="J159" s="9"/>
      <x:c r="K159" s="10"/>
      <x:c r="L159" s="7"/>
      <x:c r="M159" s="8"/>
      <x:c r="N159" s="17"/>
      <x:c r="O159" s="17"/>
    </x:row>
    <x:row r="160" ht="15" hidden="0" customHeight="1">
      <x:c r="A160" s="7"/>
      <x:c r="B160" s="7"/>
      <x:c r="C160" s="7"/>
      <x:c r="D160" s="8"/>
      <x:c r="E160" s="7"/>
      <x:c r="F160" s="7"/>
      <x:c r="G160" s="7"/>
      <x:c r="H160" s="7"/>
      <x:c r="I160" s="7"/>
      <x:c r="J160" s="9"/>
      <x:c r="K160" s="10"/>
      <x:c r="L160" s="7"/>
      <x:c r="M160" s="8"/>
      <x:c r="N160" s="17"/>
      <x:c r="O160" s="17"/>
    </x:row>
    <x:row r="161" ht="15" hidden="0" customHeight="1">
      <x:c r="A161" s="7"/>
      <x:c r="B161" s="7"/>
      <x:c r="C161" s="7"/>
      <x:c r="D161" s="8"/>
      <x:c r="E161" s="7"/>
      <x:c r="F161" s="7"/>
      <x:c r="G161" s="7"/>
      <x:c r="H161" s="7"/>
      <x:c r="I161" s="7"/>
      <x:c r="J161" s="9"/>
      <x:c r="K161" s="10"/>
      <x:c r="L161" s="7"/>
      <x:c r="M161" s="8"/>
      <x:c r="N161" s="17"/>
      <x:c r="O161" s="17"/>
    </x:row>
    <x:row r="162" ht="15" hidden="0" customHeight="1">
      <x:c r="A162" s="7"/>
      <x:c r="B162" s="7"/>
      <x:c r="C162" s="7"/>
      <x:c r="D162" s="8"/>
      <x:c r="E162" s="7"/>
      <x:c r="F162" s="7"/>
      <x:c r="G162" s="7"/>
      <x:c r="H162" s="7"/>
      <x:c r="I162" s="7"/>
      <x:c r="J162" s="9"/>
      <x:c r="K162" s="10"/>
      <x:c r="L162" s="7"/>
      <x:c r="M162" s="8"/>
      <x:c r="N162" s="17"/>
      <x:c r="O162" s="17"/>
    </x:row>
    <x:row r="163" ht="15" hidden="0" customHeight="1">
      <x:c r="A163" s="7"/>
      <x:c r="B163" s="7"/>
      <x:c r="C163" s="7"/>
      <x:c r="D163" s="8"/>
      <x:c r="E163" s="7"/>
      <x:c r="F163" s="7"/>
      <x:c r="G163" s="7"/>
      <x:c r="H163" s="7"/>
      <x:c r="I163" s="7"/>
      <x:c r="J163" s="9"/>
      <x:c r="K163" s="10"/>
      <x:c r="L163" s="7"/>
      <x:c r="M163" s="8"/>
      <x:c r="N163" s="17"/>
      <x:c r="O163" s="17"/>
    </x:row>
    <x:row r="164" ht="15" hidden="0" customHeight="1">
      <x:c r="A164" s="7"/>
      <x:c r="B164" s="7"/>
      <x:c r="C164" s="7"/>
      <x:c r="D164" s="8"/>
      <x:c r="E164" s="7"/>
      <x:c r="F164" s="7"/>
      <x:c r="G164" s="7"/>
      <x:c r="H164" s="7"/>
      <x:c r="I164" s="7"/>
      <x:c r="J164" s="9"/>
      <x:c r="K164" s="10"/>
      <x:c r="L164" s="7"/>
      <x:c r="M164" s="8"/>
      <x:c r="N164" s="17"/>
      <x:c r="O164" s="17"/>
    </x:row>
    <x:row r="165" ht="15" hidden="0" customHeight="1">
      <x:c r="A165" s="7"/>
      <x:c r="B165" s="7"/>
      <x:c r="C165" s="7"/>
      <x:c r="D165" s="8"/>
      <x:c r="E165" s="7"/>
      <x:c r="F165" s="7"/>
      <x:c r="G165" s="7"/>
      <x:c r="H165" s="7"/>
      <x:c r="I165" s="7"/>
      <x:c r="J165" s="9"/>
      <x:c r="K165" s="10"/>
      <x:c r="L165" s="7"/>
      <x:c r="M165" s="8"/>
      <x:c r="N165" s="17"/>
      <x:c r="O165" s="17"/>
    </x:row>
    <x:row r="166" ht="15" hidden="0" customHeight="1">
      <x:c r="A166" s="7"/>
      <x:c r="B166" s="7"/>
      <x:c r="C166" s="7"/>
      <x:c r="D166" s="8"/>
      <x:c r="E166" s="7"/>
      <x:c r="F166" s="7"/>
      <x:c r="G166" s="7"/>
      <x:c r="H166" s="7"/>
      <x:c r="I166" s="7"/>
      <x:c r="J166" s="9"/>
      <x:c r="K166" s="10"/>
      <x:c r="L166" s="7"/>
      <x:c r="M166" s="8"/>
      <x:c r="N166" s="17"/>
      <x:c r="O166" s="17"/>
    </x:row>
    <x:row r="167" ht="15" hidden="0" customHeight="1">
      <x:c r="A167" s="7"/>
      <x:c r="B167" s="7"/>
      <x:c r="C167" s="7"/>
      <x:c r="D167" s="8"/>
      <x:c r="E167" s="7"/>
      <x:c r="F167" s="7"/>
      <x:c r="G167" s="7"/>
      <x:c r="H167" s="7"/>
      <x:c r="I167" s="7"/>
      <x:c r="J167" s="9"/>
      <x:c r="K167" s="10"/>
      <x:c r="L167" s="7"/>
      <x:c r="M167" s="8"/>
      <x:c r="N167" s="17"/>
      <x:c r="O167" s="17"/>
    </x:row>
    <x:row r="168" ht="15" hidden="0" customHeight="1">
      <x:c r="A168" s="7"/>
      <x:c r="B168" s="7"/>
      <x:c r="C168" s="7"/>
      <x:c r="D168" s="8"/>
      <x:c r="E168" s="7"/>
      <x:c r="F168" s="7"/>
      <x:c r="G168" s="7"/>
      <x:c r="H168" s="7"/>
      <x:c r="I168" s="7"/>
      <x:c r="J168" s="9"/>
      <x:c r="K168" s="10"/>
      <x:c r="L168" s="7"/>
      <x:c r="M168" s="8"/>
      <x:c r="N168" s="17"/>
      <x:c r="O168" s="17"/>
    </x:row>
    <x:row r="169" ht="15" hidden="0" customHeight="1">
      <x:c r="A169" s="7"/>
      <x:c r="B169" s="7"/>
      <x:c r="C169" s="7"/>
      <x:c r="D169" s="8"/>
      <x:c r="E169" s="7"/>
      <x:c r="F169" s="7"/>
      <x:c r="G169" s="7"/>
      <x:c r="H169" s="7"/>
      <x:c r="I169" s="7"/>
      <x:c r="J169" s="9"/>
      <x:c r="K169" s="10"/>
      <x:c r="L169" s="7"/>
      <x:c r="M169" s="8"/>
      <x:c r="N169" s="17"/>
      <x:c r="O169" s="17"/>
    </x:row>
    <x:row r="170" ht="15" hidden="0" customHeight="1">
      <x:c r="A170" s="7"/>
      <x:c r="B170" s="7"/>
      <x:c r="C170" s="7"/>
      <x:c r="D170" s="8"/>
      <x:c r="E170" s="7"/>
      <x:c r="F170" s="7"/>
      <x:c r="G170" s="7"/>
      <x:c r="H170" s="7"/>
      <x:c r="I170" s="7"/>
      <x:c r="J170" s="9"/>
      <x:c r="K170" s="10"/>
      <x:c r="L170" s="7"/>
      <x:c r="M170" s="8"/>
      <x:c r="N170" s="17"/>
      <x:c r="O170" s="17"/>
    </x:row>
    <x:row r="171" ht="15" hidden="0" customHeight="1">
      <x:c r="A171" s="7"/>
      <x:c r="B171" s="7"/>
      <x:c r="C171" s="7"/>
      <x:c r="D171" s="8"/>
      <x:c r="E171" s="7"/>
      <x:c r="F171" s="7"/>
      <x:c r="G171" s="7"/>
      <x:c r="H171" s="7"/>
      <x:c r="I171" s="7"/>
      <x:c r="J171" s="9"/>
      <x:c r="K171" s="10"/>
      <x:c r="L171" s="7"/>
      <x:c r="M171" s="8"/>
      <x:c r="N171" s="17"/>
      <x:c r="O171" s="17"/>
    </x:row>
    <x:row r="172" ht="15" hidden="0" customHeight="1">
      <x:c r="A172" s="7"/>
      <x:c r="B172" s="7"/>
      <x:c r="C172" s="7"/>
      <x:c r="D172" s="8"/>
      <x:c r="E172" s="7"/>
      <x:c r="F172" s="7"/>
      <x:c r="G172" s="7"/>
      <x:c r="H172" s="7"/>
      <x:c r="I172" s="7"/>
      <x:c r="J172" s="9"/>
      <x:c r="K172" s="10"/>
      <x:c r="L172" s="7"/>
      <x:c r="M172" s="8"/>
      <x:c r="N172" s="17"/>
      <x:c r="O172" s="17"/>
    </x:row>
    <x:row r="173" ht="15" hidden="0" customHeight="1">
      <x:c r="A173" s="7"/>
      <x:c r="B173" s="7"/>
      <x:c r="C173" s="7"/>
      <x:c r="D173" s="8"/>
      <x:c r="E173" s="7"/>
      <x:c r="F173" s="7"/>
      <x:c r="G173" s="7"/>
      <x:c r="H173" s="7"/>
      <x:c r="I173" s="7"/>
      <x:c r="J173" s="9"/>
      <x:c r="K173" s="10"/>
      <x:c r="L173" s="7"/>
      <x:c r="M173" s="8"/>
      <x:c r="N173" s="17"/>
      <x:c r="O173" s="17"/>
    </x:row>
    <x:row r="174" ht="15" hidden="0" customHeight="1">
      <x:c r="A174" s="7"/>
      <x:c r="B174" s="7"/>
      <x:c r="C174" s="7"/>
      <x:c r="D174" s="8"/>
      <x:c r="E174" s="7"/>
      <x:c r="F174" s="7"/>
      <x:c r="G174" s="7"/>
      <x:c r="H174" s="7"/>
      <x:c r="I174" s="7"/>
      <x:c r="J174" s="9"/>
      <x:c r="K174" s="10"/>
      <x:c r="L174" s="7"/>
      <x:c r="M174" s="8"/>
      <x:c r="N174" s="17"/>
      <x:c r="O174" s="17"/>
    </x:row>
    <x:row r="175" ht="15" hidden="0" customHeight="1">
      <x:c r="A175" s="7"/>
      <x:c r="B175" s="7"/>
      <x:c r="C175" s="7"/>
      <x:c r="D175" s="8"/>
      <x:c r="E175" s="7"/>
      <x:c r="F175" s="7"/>
      <x:c r="G175" s="7"/>
      <x:c r="H175" s="7"/>
      <x:c r="I175" s="7"/>
      <x:c r="J175" s="9"/>
      <x:c r="K175" s="10"/>
      <x:c r="L175" s="7"/>
      <x:c r="M175" s="8"/>
      <x:c r="N175" s="17"/>
      <x:c r="O175" s="17"/>
    </x:row>
    <x:row r="176" ht="15" hidden="0" customHeight="1">
      <x:c r="A176" s="7"/>
      <x:c r="B176" s="7"/>
      <x:c r="C176" s="7"/>
      <x:c r="D176" s="8"/>
      <x:c r="E176" s="7"/>
      <x:c r="F176" s="7"/>
      <x:c r="G176" s="7"/>
      <x:c r="H176" s="7"/>
      <x:c r="I176" s="7"/>
      <x:c r="J176" s="9"/>
      <x:c r="K176" s="10"/>
      <x:c r="L176" s="7"/>
      <x:c r="M176" s="8"/>
      <x:c r="N176" s="17"/>
      <x:c r="O176" s="17"/>
    </x:row>
    <x:row r="177" ht="15" hidden="0" customHeight="1">
      <x:c r="A177" s="7"/>
      <x:c r="B177" s="7"/>
      <x:c r="C177" s="7"/>
      <x:c r="D177" s="8"/>
      <x:c r="E177" s="7"/>
      <x:c r="F177" s="7"/>
      <x:c r="G177" s="7"/>
      <x:c r="H177" s="7"/>
      <x:c r="I177" s="7"/>
      <x:c r="J177" s="9"/>
      <x:c r="K177" s="10"/>
      <x:c r="L177" s="7"/>
      <x:c r="M177" s="8"/>
      <x:c r="N177" s="17"/>
      <x:c r="O177" s="17"/>
    </x:row>
    <x:row r="178" ht="15" hidden="0" customHeight="1">
      <x:c r="A178" s="7"/>
      <x:c r="B178" s="7"/>
      <x:c r="C178" s="7"/>
      <x:c r="D178" s="8"/>
      <x:c r="E178" s="7"/>
      <x:c r="F178" s="7"/>
      <x:c r="G178" s="7"/>
      <x:c r="H178" s="7"/>
      <x:c r="I178" s="7"/>
      <x:c r="J178" s="9"/>
      <x:c r="K178" s="10"/>
      <x:c r="L178" s="7"/>
      <x:c r="M178" s="8"/>
      <x:c r="N178" s="17"/>
      <x:c r="O178" s="17"/>
    </x:row>
    <x:row r="179" ht="15" hidden="0" customHeight="1">
      <x:c r="A179" s="7"/>
      <x:c r="B179" s="7"/>
      <x:c r="C179" s="7"/>
      <x:c r="D179" s="8"/>
      <x:c r="E179" s="7"/>
      <x:c r="F179" s="7"/>
      <x:c r="G179" s="7"/>
      <x:c r="H179" s="7"/>
      <x:c r="I179" s="7"/>
      <x:c r="J179" s="9"/>
      <x:c r="K179" s="10"/>
      <x:c r="L179" s="7"/>
      <x:c r="M179" s="8"/>
      <x:c r="N179" s="17"/>
      <x:c r="O179" s="17"/>
    </x:row>
    <x:row r="180" ht="15" hidden="0" customHeight="1">
      <x:c r="A180" s="7"/>
      <x:c r="B180" s="7"/>
      <x:c r="C180" s="7"/>
      <x:c r="D180" s="8"/>
      <x:c r="E180" s="7"/>
      <x:c r="F180" s="7"/>
      <x:c r="G180" s="7"/>
      <x:c r="H180" s="7"/>
      <x:c r="I180" s="7"/>
      <x:c r="J180" s="9"/>
      <x:c r="K180" s="10"/>
      <x:c r="L180" s="7"/>
      <x:c r="M180" s="8"/>
      <x:c r="N180" s="17"/>
      <x:c r="O180" s="17"/>
    </x:row>
    <x:row r="181" ht="15" hidden="0" customHeight="1">
      <x:c r="A181" s="7"/>
      <x:c r="B181" s="7"/>
      <x:c r="C181" s="7"/>
      <x:c r="D181" s="8"/>
      <x:c r="E181" s="7"/>
      <x:c r="F181" s="7"/>
      <x:c r="G181" s="7"/>
      <x:c r="H181" s="7"/>
      <x:c r="I181" s="7"/>
      <x:c r="J181" s="9"/>
      <x:c r="K181" s="10"/>
      <x:c r="L181" s="7"/>
      <x:c r="M181" s="8"/>
      <x:c r="N181" s="17"/>
      <x:c r="O181" s="17"/>
    </x:row>
    <x:row r="182" ht="15" hidden="0" customHeight="1">
      <x:c r="A182" s="7"/>
      <x:c r="B182" s="7"/>
      <x:c r="C182" s="7"/>
      <x:c r="D182" s="8"/>
      <x:c r="E182" s="7"/>
      <x:c r="F182" s="7"/>
      <x:c r="G182" s="7"/>
      <x:c r="H182" s="7"/>
      <x:c r="I182" s="7"/>
      <x:c r="J182" s="9"/>
      <x:c r="K182" s="10"/>
      <x:c r="L182" s="7"/>
      <x:c r="M182" s="8"/>
      <x:c r="N182" s="17"/>
      <x:c r="O182" s="17"/>
    </x:row>
    <x:row r="183" ht="15" hidden="0" customHeight="1">
      <x:c r="A183" s="7"/>
      <x:c r="B183" s="7"/>
      <x:c r="C183" s="7"/>
      <x:c r="D183" s="8"/>
      <x:c r="E183" s="7"/>
      <x:c r="F183" s="7"/>
      <x:c r="G183" s="7"/>
      <x:c r="H183" s="7"/>
      <x:c r="I183" s="7"/>
      <x:c r="J183" s="9"/>
      <x:c r="K183" s="10"/>
      <x:c r="L183" s="7"/>
      <x:c r="M183" s="8"/>
      <x:c r="N183" s="17"/>
      <x:c r="O183" s="17"/>
    </x:row>
    <x:row r="184" ht="15" hidden="0" customHeight="1">
      <x:c r="A184" s="7"/>
      <x:c r="B184" s="7"/>
      <x:c r="C184" s="7"/>
      <x:c r="D184" s="8"/>
      <x:c r="E184" s="7"/>
      <x:c r="F184" s="7"/>
      <x:c r="G184" s="7"/>
      <x:c r="H184" s="7"/>
      <x:c r="I184" s="7"/>
      <x:c r="J184" s="9"/>
      <x:c r="K184" s="10"/>
      <x:c r="L184" s="7"/>
      <x:c r="M184" s="8"/>
      <x:c r="N184" s="17"/>
      <x:c r="O184" s="17"/>
    </x:row>
    <x:row r="185" ht="15" hidden="0" customHeight="1">
      <x:c r="A185" s="7"/>
      <x:c r="B185" s="7"/>
      <x:c r="C185" s="7"/>
      <x:c r="D185" s="8"/>
      <x:c r="E185" s="7"/>
      <x:c r="F185" s="7"/>
      <x:c r="G185" s="7"/>
      <x:c r="H185" s="7"/>
      <x:c r="I185" s="7"/>
      <x:c r="J185" s="9"/>
      <x:c r="K185" s="10"/>
      <x:c r="L185" s="7"/>
      <x:c r="M185" s="8"/>
      <x:c r="N185" s="17"/>
      <x:c r="O185" s="17"/>
    </x:row>
    <x:row r="186" ht="15" hidden="0" customHeight="1">
      <x:c r="A186" s="7"/>
      <x:c r="B186" s="7"/>
      <x:c r="C186" s="7"/>
      <x:c r="D186" s="8"/>
      <x:c r="E186" s="7"/>
      <x:c r="F186" s="7"/>
      <x:c r="G186" s="7"/>
      <x:c r="H186" s="7"/>
      <x:c r="I186" s="7"/>
      <x:c r="J186" s="9"/>
      <x:c r="K186" s="10"/>
      <x:c r="L186" s="7"/>
      <x:c r="M186" s="8"/>
      <x:c r="N186" s="17"/>
      <x:c r="O186" s="17"/>
    </x:row>
    <x:row r="187" ht="15" hidden="0" customHeight="1">
      <x:c r="A187" s="7"/>
      <x:c r="B187" s="7"/>
      <x:c r="C187" s="7"/>
      <x:c r="D187" s="8"/>
      <x:c r="E187" s="7"/>
      <x:c r="F187" s="7"/>
      <x:c r="G187" s="7"/>
      <x:c r="H187" s="7"/>
      <x:c r="I187" s="7"/>
      <x:c r="J187" s="9"/>
      <x:c r="K187" s="10"/>
      <x:c r="L187" s="7"/>
      <x:c r="M187" s="8"/>
      <x:c r="N187" s="17"/>
      <x:c r="O187" s="17"/>
    </x:row>
    <x:row r="188" ht="15" hidden="0" customHeight="1">
      <x:c r="A188" s="7"/>
      <x:c r="B188" s="7"/>
      <x:c r="C188" s="7"/>
      <x:c r="D188" s="8"/>
      <x:c r="E188" s="7"/>
      <x:c r="F188" s="7"/>
      <x:c r="G188" s="7"/>
      <x:c r="H188" s="7"/>
      <x:c r="I188" s="7"/>
      <x:c r="J188" s="9"/>
      <x:c r="K188" s="10"/>
      <x:c r="L188" s="7"/>
      <x:c r="M188" s="8"/>
      <x:c r="N188" s="17"/>
      <x:c r="O188" s="17"/>
    </x:row>
    <x:row r="189" ht="15" hidden="0" customHeight="1">
      <x:c r="A189" s="7"/>
      <x:c r="B189" s="7"/>
      <x:c r="C189" s="7"/>
      <x:c r="D189" s="8"/>
      <x:c r="E189" s="7"/>
      <x:c r="F189" s="7"/>
      <x:c r="G189" s="7"/>
      <x:c r="H189" s="7"/>
      <x:c r="I189" s="7"/>
      <x:c r="J189" s="9"/>
      <x:c r="K189" s="10"/>
      <x:c r="L189" s="7"/>
      <x:c r="M189" s="8"/>
      <x:c r="N189" s="17"/>
      <x:c r="O189" s="17"/>
    </x:row>
    <x:row r="190" ht="15" hidden="0" customHeight="1">
      <x:c r="A190" s="7"/>
      <x:c r="B190" s="7"/>
      <x:c r="C190" s="7"/>
      <x:c r="D190" s="8"/>
      <x:c r="E190" s="7"/>
      <x:c r="F190" s="7"/>
      <x:c r="G190" s="7"/>
      <x:c r="H190" s="7"/>
      <x:c r="I190" s="7"/>
      <x:c r="J190" s="9"/>
      <x:c r="K190" s="10"/>
      <x:c r="L190" s="7"/>
      <x:c r="M190" s="8"/>
      <x:c r="N190" s="17"/>
      <x:c r="O190" s="17"/>
    </x:row>
    <x:row r="191" ht="15" hidden="0" customHeight="1">
      <x:c r="A191" s="7"/>
      <x:c r="B191" s="7"/>
      <x:c r="C191" s="7"/>
      <x:c r="D191" s="8"/>
      <x:c r="E191" s="7"/>
      <x:c r="F191" s="7"/>
      <x:c r="G191" s="7"/>
      <x:c r="H191" s="7"/>
      <x:c r="I191" s="7"/>
      <x:c r="J191" s="9"/>
      <x:c r="K191" s="10"/>
      <x:c r="L191" s="7"/>
      <x:c r="M191" s="8"/>
      <x:c r="N191" s="17"/>
      <x:c r="O191" s="17"/>
    </x:row>
    <x:row r="192" ht="15" hidden="0" customHeight="1">
      <x:c r="A192" s="7"/>
      <x:c r="B192" s="7"/>
      <x:c r="C192" s="7"/>
      <x:c r="D192" s="8"/>
      <x:c r="E192" s="7"/>
      <x:c r="F192" s="7"/>
      <x:c r="G192" s="7"/>
      <x:c r="H192" s="7"/>
      <x:c r="I192" s="7"/>
      <x:c r="J192" s="9"/>
      <x:c r="K192" s="10"/>
      <x:c r="L192" s="7"/>
      <x:c r="M192" s="8"/>
      <x:c r="N192" s="17"/>
      <x:c r="O192" s="17"/>
    </x:row>
    <x:row r="193" ht="15" hidden="0" customHeight="1">
      <x:c r="A193" s="7"/>
      <x:c r="B193" s="7"/>
      <x:c r="C193" s="7"/>
      <x:c r="D193" s="8"/>
      <x:c r="E193" s="7"/>
      <x:c r="F193" s="7"/>
      <x:c r="G193" s="7"/>
      <x:c r="H193" s="7"/>
      <x:c r="I193" s="7"/>
      <x:c r="J193" s="9"/>
      <x:c r="K193" s="10"/>
      <x:c r="L193" s="7"/>
      <x:c r="M193" s="8"/>
      <x:c r="N193" s="17"/>
      <x:c r="O193" s="17"/>
    </x:row>
    <x:row r="194" ht="15" hidden="0" customHeight="1">
      <x:c r="A194" s="7"/>
      <x:c r="B194" s="7"/>
      <x:c r="C194" s="7"/>
      <x:c r="D194" s="8"/>
      <x:c r="E194" s="7"/>
      <x:c r="F194" s="7"/>
      <x:c r="G194" s="7"/>
      <x:c r="H194" s="7"/>
      <x:c r="I194" s="7"/>
      <x:c r="J194" s="9"/>
      <x:c r="K194" s="10"/>
      <x:c r="L194" s="7"/>
      <x:c r="M194" s="8"/>
      <x:c r="N194" s="17"/>
      <x:c r="O194" s="17"/>
    </x:row>
    <x:row r="195" ht="15" hidden="0" customHeight="1">
      <x:c r="A195" s="7"/>
      <x:c r="B195" s="7"/>
      <x:c r="C195" s="7"/>
      <x:c r="D195" s="8"/>
      <x:c r="E195" s="7"/>
      <x:c r="F195" s="7"/>
      <x:c r="G195" s="7"/>
      <x:c r="H195" s="7"/>
      <x:c r="I195" s="7"/>
      <x:c r="J195" s="9"/>
      <x:c r="K195" s="10"/>
      <x:c r="L195" s="7"/>
      <x:c r="M195" s="8"/>
      <x:c r="N195" s="17"/>
      <x:c r="O195" s="17"/>
    </x:row>
    <x:row r="196" ht="15" hidden="0" customHeight="1">
      <x:c r="A196" s="7"/>
      <x:c r="B196" s="7"/>
      <x:c r="C196" s="7"/>
      <x:c r="D196" s="8"/>
      <x:c r="E196" s="7"/>
      <x:c r="F196" s="7"/>
      <x:c r="G196" s="7"/>
      <x:c r="H196" s="7"/>
      <x:c r="I196" s="7"/>
      <x:c r="J196" s="9"/>
      <x:c r="K196" s="10"/>
      <x:c r="L196" s="7"/>
      <x:c r="M196" s="8"/>
      <x:c r="N196" s="17"/>
      <x:c r="O196" s="17"/>
    </x:row>
    <x:row r="197" ht="15" hidden="0" customHeight="1">
      <x:c r="A197" s="7"/>
      <x:c r="B197" s="7"/>
      <x:c r="C197" s="7"/>
      <x:c r="D197" s="8"/>
      <x:c r="E197" s="7"/>
      <x:c r="F197" s="7"/>
      <x:c r="G197" s="7"/>
      <x:c r="H197" s="7"/>
      <x:c r="I197" s="7"/>
      <x:c r="J197" s="9"/>
      <x:c r="K197" s="10"/>
      <x:c r="L197" s="7"/>
      <x:c r="M197" s="8"/>
      <x:c r="N197" s="17"/>
      <x:c r="O197" s="17"/>
    </x:row>
    <x:row r="198" ht="15" hidden="0" customHeight="1">
      <x:c r="A198" s="7"/>
      <x:c r="B198" s="7"/>
      <x:c r="C198" s="7"/>
      <x:c r="D198" s="8"/>
      <x:c r="E198" s="7"/>
      <x:c r="F198" s="7"/>
      <x:c r="G198" s="7"/>
      <x:c r="H198" s="7"/>
      <x:c r="I198" s="7"/>
      <x:c r="J198" s="9"/>
      <x:c r="K198" s="10"/>
      <x:c r="L198" s="7"/>
      <x:c r="M198" s="8"/>
      <x:c r="N198" s="17"/>
      <x:c r="O198" s="17"/>
    </x:row>
    <x:row r="199" ht="15" hidden="0" customHeight="1">
      <x:c r="A199" s="7"/>
      <x:c r="B199" s="7"/>
      <x:c r="C199" s="7"/>
      <x:c r="D199" s="8"/>
      <x:c r="E199" s="7"/>
      <x:c r="F199" s="7"/>
      <x:c r="G199" s="7"/>
      <x:c r="H199" s="7"/>
      <x:c r="I199" s="7"/>
      <x:c r="J199" s="9"/>
      <x:c r="K199" s="10"/>
      <x:c r="L199" s="7"/>
      <x:c r="M199" s="8"/>
      <x:c r="N199" s="17"/>
      <x:c r="O199" s="17"/>
    </x:row>
    <x:row r="200" ht="15" hidden="0" customHeight="1">
      <x:c r="A200" s="7"/>
      <x:c r="B200" s="7"/>
      <x:c r="C200" s="7"/>
      <x:c r="D200" s="8"/>
      <x:c r="E200" s="7"/>
      <x:c r="F200" s="7"/>
      <x:c r="G200" s="7"/>
      <x:c r="H200" s="7"/>
      <x:c r="I200" s="7"/>
      <x:c r="J200" s="9"/>
      <x:c r="K200" s="10"/>
      <x:c r="L200" s="7"/>
      <x:c r="M200" s="8"/>
      <x:c r="N200" s="17"/>
      <x:c r="O200" s="17"/>
    </x:row>
    <x:row r="201" ht="15" hidden="0" customHeight="1">
      <x:c r="A201" s="7"/>
      <x:c r="B201" s="7"/>
      <x:c r="C201" s="7"/>
      <x:c r="D201" s="8"/>
      <x:c r="E201" s="7"/>
      <x:c r="F201" s="7"/>
      <x:c r="G201" s="7"/>
      <x:c r="H201" s="7"/>
      <x:c r="I201" s="7"/>
      <x:c r="J201" s="9"/>
      <x:c r="K201" s="10"/>
      <x:c r="L201" s="7"/>
      <x:c r="M201" s="8"/>
      <x:c r="N201" s="17"/>
      <x:c r="O201" s="17"/>
    </x:row>
    <x:row r="202" ht="15" hidden="0" customHeight="1">
      <x:c r="A202" s="7"/>
      <x:c r="B202" s="7"/>
      <x:c r="C202" s="7"/>
      <x:c r="D202" s="8"/>
      <x:c r="E202" s="7"/>
      <x:c r="F202" s="7"/>
      <x:c r="G202" s="7"/>
      <x:c r="H202" s="7"/>
      <x:c r="I202" s="7"/>
      <x:c r="J202" s="9"/>
      <x:c r="K202" s="10"/>
      <x:c r="L202" s="7"/>
      <x:c r="M202" s="8"/>
      <x:c r="N202" s="17"/>
      <x:c r="O202" s="17"/>
    </x:row>
    <x:row r="203" ht="15" hidden="0" customHeight="1">
      <x:c r="A203" s="7"/>
      <x:c r="B203" s="7"/>
      <x:c r="C203" s="7"/>
      <x:c r="D203" s="8"/>
      <x:c r="E203" s="7"/>
      <x:c r="F203" s="7"/>
      <x:c r="G203" s="7"/>
      <x:c r="H203" s="7"/>
      <x:c r="I203" s="7"/>
      <x:c r="J203" s="9"/>
      <x:c r="K203" s="10"/>
      <x:c r="L203" s="7"/>
      <x:c r="M203" s="8"/>
      <x:c r="N203" s="17"/>
      <x:c r="O203" s="17"/>
    </x:row>
    <x:row r="204" ht="15" hidden="0" customHeight="1">
      <x:c r="A204" s="7"/>
      <x:c r="B204" s="7"/>
      <x:c r="C204" s="7"/>
      <x:c r="D204" s="8"/>
      <x:c r="E204" s="7"/>
      <x:c r="F204" s="7"/>
      <x:c r="G204" s="7"/>
      <x:c r="H204" s="7"/>
      <x:c r="I204" s="7"/>
      <x:c r="J204" s="9"/>
      <x:c r="K204" s="10"/>
      <x:c r="L204" s="7"/>
      <x:c r="M204" s="8"/>
      <x:c r="N204" s="17"/>
      <x:c r="O204" s="17"/>
    </x:row>
    <x:row r="205" ht="15" hidden="0" customHeight="1">
      <x:c r="A205" s="7"/>
      <x:c r="B205" s="7"/>
      <x:c r="C205" s="7"/>
      <x:c r="D205" s="8"/>
      <x:c r="E205" s="7"/>
      <x:c r="F205" s="7"/>
      <x:c r="G205" s="7"/>
      <x:c r="H205" s="7"/>
      <x:c r="I205" s="7"/>
      <x:c r="J205" s="9"/>
      <x:c r="K205" s="10"/>
      <x:c r="L205" s="7"/>
      <x:c r="M205" s="8"/>
      <x:c r="N205" s="17"/>
      <x:c r="O205" s="17"/>
    </x:row>
    <x:row r="206" ht="15" hidden="0" customHeight="1">
      <x:c r="A206" s="7"/>
      <x:c r="B206" s="7"/>
      <x:c r="C206" s="7"/>
      <x:c r="D206" s="8"/>
      <x:c r="E206" s="7"/>
      <x:c r="F206" s="7"/>
      <x:c r="G206" s="7"/>
      <x:c r="H206" s="7"/>
      <x:c r="I206" s="7"/>
      <x:c r="J206" s="9"/>
      <x:c r="K206" s="10"/>
      <x:c r="L206" s="7"/>
      <x:c r="M206" s="8"/>
      <x:c r="N206" s="17"/>
      <x:c r="O206" s="17"/>
    </x:row>
    <x:row r="207" ht="15" hidden="0" customHeight="1">
      <x:c r="A207" s="7"/>
      <x:c r="B207" s="7"/>
      <x:c r="C207" s="7"/>
      <x:c r="D207" s="8"/>
      <x:c r="E207" s="7"/>
      <x:c r="F207" s="7"/>
      <x:c r="G207" s="7"/>
      <x:c r="H207" s="7"/>
      <x:c r="I207" s="7"/>
      <x:c r="J207" s="9"/>
      <x:c r="K207" s="10"/>
      <x:c r="L207" s="7"/>
      <x:c r="M207" s="8"/>
      <x:c r="N207" s="17"/>
      <x:c r="O207" s="17"/>
    </x:row>
    <x:row r="208" ht="15" hidden="0" customHeight="1">
      <x:c r="A208" s="7"/>
      <x:c r="B208" s="7"/>
      <x:c r="C208" s="7"/>
      <x:c r="D208" s="8"/>
      <x:c r="E208" s="7"/>
      <x:c r="F208" s="7"/>
      <x:c r="G208" s="7"/>
      <x:c r="H208" s="7"/>
      <x:c r="I208" s="7"/>
      <x:c r="J208" s="9"/>
      <x:c r="K208" s="10"/>
      <x:c r="L208" s="7"/>
      <x:c r="M208" s="8"/>
      <x:c r="N208" s="17"/>
      <x:c r="O208" s="17"/>
    </x:row>
    <x:row r="209" ht="15" hidden="0" customHeight="1">
      <x:c r="A209" s="7"/>
      <x:c r="B209" s="7"/>
      <x:c r="C209" s="7"/>
      <x:c r="D209" s="8"/>
      <x:c r="E209" s="7"/>
      <x:c r="F209" s="7"/>
      <x:c r="G209" s="7"/>
      <x:c r="H209" s="7"/>
      <x:c r="I209" s="7"/>
      <x:c r="J209" s="9"/>
      <x:c r="K209" s="10"/>
      <x:c r="L209" s="7"/>
      <x:c r="M209" s="8"/>
      <x:c r="N209" s="17"/>
      <x:c r="O209" s="17"/>
    </x:row>
    <x:row r="210" ht="15" hidden="0" customHeight="1">
      <x:c r="A210" s="7"/>
      <x:c r="B210" s="7"/>
      <x:c r="C210" s="7"/>
      <x:c r="D210" s="8"/>
      <x:c r="E210" s="7"/>
      <x:c r="F210" s="7"/>
      <x:c r="G210" s="7"/>
      <x:c r="H210" s="7"/>
      <x:c r="I210" s="7"/>
      <x:c r="J210" s="9"/>
      <x:c r="K210" s="10"/>
      <x:c r="L210" s="7"/>
      <x:c r="M210" s="8"/>
      <x:c r="N210" s="17"/>
      <x:c r="O210" s="17"/>
    </x:row>
    <x:row r="211" ht="15" hidden="0" customHeight="1">
      <x:c r="A211" s="7"/>
      <x:c r="B211" s="7"/>
      <x:c r="C211" s="7"/>
      <x:c r="D211" s="8"/>
      <x:c r="E211" s="7"/>
      <x:c r="F211" s="7"/>
      <x:c r="G211" s="7"/>
      <x:c r="H211" s="7"/>
      <x:c r="I211" s="7"/>
      <x:c r="J211" s="9"/>
      <x:c r="K211" s="10"/>
      <x:c r="L211" s="7"/>
      <x:c r="M211" s="8"/>
      <x:c r="N211" s="17"/>
      <x:c r="O211" s="17"/>
    </x:row>
    <x:row r="212" ht="15" hidden="0" customHeight="1">
      <x:c r="A212" s="7"/>
      <x:c r="B212" s="7"/>
      <x:c r="C212" s="7"/>
      <x:c r="D212" s="8"/>
      <x:c r="E212" s="7"/>
      <x:c r="F212" s="7"/>
      <x:c r="G212" s="7"/>
      <x:c r="H212" s="7"/>
      <x:c r="I212" s="7"/>
      <x:c r="J212" s="9"/>
      <x:c r="K212" s="10"/>
      <x:c r="L212" s="7"/>
      <x:c r="M212" s="8"/>
      <x:c r="N212" s="17"/>
      <x:c r="O212" s="17"/>
    </x:row>
    <x:row r="213" ht="15" hidden="0" customHeight="1">
      <x:c r="A213" s="7"/>
      <x:c r="B213" s="7"/>
      <x:c r="C213" s="7"/>
      <x:c r="D213" s="8"/>
      <x:c r="E213" s="7"/>
      <x:c r="F213" s="7"/>
      <x:c r="G213" s="7"/>
      <x:c r="H213" s="7"/>
      <x:c r="I213" s="7"/>
      <x:c r="J213" s="9"/>
      <x:c r="K213" s="10"/>
      <x:c r="L213" s="7"/>
      <x:c r="M213" s="8"/>
      <x:c r="N213" s="17"/>
      <x:c r="O213" s="17"/>
    </x:row>
    <x:row r="214" ht="15" hidden="0" customHeight="1">
      <x:c r="A214" s="7"/>
      <x:c r="B214" s="7"/>
      <x:c r="C214" s="7"/>
      <x:c r="D214" s="8"/>
      <x:c r="E214" s="7"/>
      <x:c r="F214" s="7"/>
      <x:c r="G214" s="7"/>
      <x:c r="H214" s="7"/>
      <x:c r="I214" s="7"/>
      <x:c r="J214" s="9"/>
      <x:c r="K214" s="10"/>
      <x:c r="L214" s="7"/>
      <x:c r="M214" s="8"/>
      <x:c r="N214" s="17"/>
      <x:c r="O214" s="17"/>
    </x:row>
    <x:row r="215" ht="15" hidden="0" customHeight="1">
      <x:c r="A215" s="7"/>
      <x:c r="B215" s="7"/>
      <x:c r="C215" s="7"/>
      <x:c r="D215" s="8"/>
      <x:c r="E215" s="7"/>
      <x:c r="F215" s="7"/>
      <x:c r="G215" s="7"/>
      <x:c r="H215" s="7"/>
      <x:c r="I215" s="7"/>
      <x:c r="J215" s="9"/>
      <x:c r="K215" s="10"/>
      <x:c r="L215" s="7"/>
      <x:c r="M215" s="8"/>
      <x:c r="N215" s="17"/>
      <x:c r="O215" s="17"/>
    </x:row>
    <x:row r="216" ht="15" hidden="0" customHeight="1">
      <x:c r="A216" s="7"/>
      <x:c r="B216" s="7"/>
      <x:c r="C216" s="7"/>
      <x:c r="D216" s="8"/>
      <x:c r="E216" s="7"/>
      <x:c r="F216" s="7"/>
      <x:c r="G216" s="7"/>
      <x:c r="H216" s="7"/>
      <x:c r="I216" s="7"/>
      <x:c r="J216" s="9"/>
      <x:c r="K216" s="10"/>
      <x:c r="L216" s="7"/>
      <x:c r="M216" s="8"/>
      <x:c r="N216" s="17"/>
      <x:c r="O216" s="17"/>
    </x:row>
    <x:row r="217" ht="15" hidden="0" customHeight="1">
      <x:c r="A217" s="7"/>
      <x:c r="B217" s="7"/>
      <x:c r="C217" s="7"/>
      <x:c r="D217" s="8"/>
      <x:c r="E217" s="7"/>
      <x:c r="F217" s="7"/>
      <x:c r="G217" s="7"/>
      <x:c r="H217" s="7"/>
      <x:c r="I217" s="7"/>
      <x:c r="J217" s="9"/>
      <x:c r="K217" s="10"/>
      <x:c r="L217" s="7"/>
      <x:c r="M217" s="8"/>
      <x:c r="N217" s="17"/>
      <x:c r="O217" s="17"/>
    </x:row>
    <x:row r="218" ht="15" hidden="0" customHeight="1">
      <x:c r="A218" s="7"/>
      <x:c r="B218" s="7"/>
      <x:c r="C218" s="7"/>
      <x:c r="D218" s="8"/>
      <x:c r="E218" s="7"/>
      <x:c r="F218" s="7"/>
      <x:c r="G218" s="7"/>
      <x:c r="H218" s="7"/>
      <x:c r="I218" s="7"/>
      <x:c r="J218" s="9"/>
      <x:c r="K218" s="10"/>
      <x:c r="L218" s="7"/>
      <x:c r="M218" s="8"/>
      <x:c r="N218" s="17"/>
      <x:c r="O218" s="17"/>
    </x:row>
    <x:row r="219" ht="15" hidden="0" customHeight="1">
      <x:c r="A219" s="7"/>
      <x:c r="B219" s="7"/>
      <x:c r="C219" s="7"/>
      <x:c r="D219" s="8"/>
      <x:c r="E219" s="7"/>
      <x:c r="F219" s="7"/>
      <x:c r="G219" s="7"/>
      <x:c r="H219" s="7"/>
      <x:c r="I219" s="7"/>
      <x:c r="J219" s="9"/>
      <x:c r="K219" s="10"/>
      <x:c r="L219" s="7"/>
      <x:c r="M219" s="8"/>
      <x:c r="N219" s="17"/>
      <x:c r="O219" s="17"/>
    </x:row>
    <x:row r="220" ht="15" hidden="0" customHeight="1">
      <x:c r="A220" s="7"/>
      <x:c r="B220" s="7"/>
      <x:c r="C220" s="7"/>
      <x:c r="D220" s="8"/>
      <x:c r="E220" s="7"/>
      <x:c r="F220" s="7"/>
      <x:c r="G220" s="7"/>
      <x:c r="H220" s="7"/>
      <x:c r="I220" s="7"/>
      <x:c r="J220" s="9"/>
      <x:c r="K220" s="10"/>
      <x:c r="L220" s="7"/>
      <x:c r="M220" s="8"/>
      <x:c r="N220" s="17"/>
      <x:c r="O220" s="17"/>
    </x:row>
    <x:row r="221" ht="15" hidden="0" customHeight="1">
      <x:c r="A221" s="7"/>
      <x:c r="B221" s="7"/>
      <x:c r="C221" s="7"/>
      <x:c r="D221" s="8"/>
      <x:c r="E221" s="7"/>
      <x:c r="F221" s="7"/>
      <x:c r="G221" s="7"/>
      <x:c r="H221" s="7"/>
      <x:c r="I221" s="7"/>
      <x:c r="J221" s="9"/>
      <x:c r="K221" s="10"/>
      <x:c r="L221" s="7"/>
      <x:c r="M221" s="8"/>
      <x:c r="N221" s="17"/>
      <x:c r="O221" s="17"/>
    </x:row>
    <x:row r="222" ht="15" hidden="0" customHeight="1">
      <x:c r="A222" s="7"/>
      <x:c r="B222" s="7"/>
      <x:c r="C222" s="7"/>
      <x:c r="D222" s="8"/>
      <x:c r="E222" s="7"/>
      <x:c r="F222" s="7"/>
      <x:c r="G222" s="7"/>
      <x:c r="H222" s="7"/>
      <x:c r="I222" s="7"/>
      <x:c r="J222" s="9"/>
      <x:c r="K222" s="10"/>
      <x:c r="L222" s="7"/>
      <x:c r="M222" s="8"/>
      <x:c r="N222" s="17"/>
      <x:c r="O222" s="17"/>
    </x:row>
    <x:row r="223" ht="15" hidden="0" customHeight="1">
      <x:c r="A223" s="7"/>
      <x:c r="B223" s="7"/>
      <x:c r="C223" s="7"/>
      <x:c r="D223" s="8"/>
      <x:c r="E223" s="7"/>
      <x:c r="F223" s="7"/>
      <x:c r="G223" s="7"/>
      <x:c r="H223" s="7"/>
      <x:c r="I223" s="7"/>
      <x:c r="J223" s="9"/>
      <x:c r="K223" s="10"/>
      <x:c r="L223" s="7"/>
      <x:c r="M223" s="8"/>
      <x:c r="N223" s="17"/>
      <x:c r="O223" s="17"/>
    </x:row>
    <x:row r="224" ht="15" hidden="0" customHeight="1">
      <x:c r="A224" s="7"/>
      <x:c r="B224" s="7"/>
      <x:c r="C224" s="7"/>
      <x:c r="D224" s="8"/>
      <x:c r="E224" s="7"/>
      <x:c r="F224" s="7"/>
      <x:c r="G224" s="7"/>
      <x:c r="H224" s="7"/>
      <x:c r="I224" s="7"/>
      <x:c r="J224" s="9"/>
      <x:c r="K224" s="10"/>
      <x:c r="L224" s="7"/>
      <x:c r="M224" s="8"/>
      <x:c r="N224" s="17"/>
      <x:c r="O224" s="17"/>
    </x:row>
    <x:row r="225" ht="15" hidden="0" customHeight="1">
      <x:c r="A225" s="7"/>
      <x:c r="B225" s="7"/>
      <x:c r="C225" s="7"/>
      <x:c r="D225" s="8"/>
      <x:c r="E225" s="7"/>
      <x:c r="F225" s="7"/>
      <x:c r="G225" s="7"/>
      <x:c r="H225" s="7"/>
      <x:c r="I225" s="7"/>
      <x:c r="J225" s="9"/>
      <x:c r="K225" s="10"/>
      <x:c r="L225" s="7"/>
      <x:c r="M225" s="8"/>
      <x:c r="N225" s="17"/>
      <x:c r="O225" s="17"/>
    </x:row>
    <x:row r="226" ht="15" hidden="0" customHeight="1">
      <x:c r="A226" s="7"/>
      <x:c r="B226" s="7"/>
      <x:c r="C226" s="7"/>
      <x:c r="D226" s="8"/>
      <x:c r="E226" s="7"/>
      <x:c r="F226" s="7"/>
      <x:c r="G226" s="7"/>
      <x:c r="H226" s="7"/>
      <x:c r="I226" s="7"/>
      <x:c r="J226" s="9"/>
      <x:c r="K226" s="10"/>
      <x:c r="L226" s="7"/>
      <x:c r="M226" s="8"/>
      <x:c r="N226" s="17"/>
      <x:c r="O226" s="17"/>
    </x:row>
    <x:row r="227" ht="15" hidden="0" customHeight="1">
      <x:c r="A227" s="7"/>
      <x:c r="B227" s="7"/>
      <x:c r="C227" s="7"/>
      <x:c r="D227" s="8"/>
      <x:c r="E227" s="7"/>
      <x:c r="F227" s="7"/>
      <x:c r="G227" s="7"/>
      <x:c r="H227" s="7"/>
      <x:c r="I227" s="7"/>
      <x:c r="J227" s="9"/>
      <x:c r="K227" s="10"/>
      <x:c r="L227" s="7"/>
      <x:c r="M227" s="8"/>
      <x:c r="N227" s="17"/>
      <x:c r="O227" s="17"/>
    </x:row>
    <x:row r="228" ht="15" hidden="0" customHeight="1">
      <x:c r="A228" s="7"/>
      <x:c r="B228" s="7"/>
      <x:c r="C228" s="7"/>
      <x:c r="D228" s="8"/>
      <x:c r="E228" s="7"/>
      <x:c r="F228" s="7"/>
      <x:c r="G228" s="7"/>
      <x:c r="H228" s="7"/>
      <x:c r="I228" s="7"/>
      <x:c r="J228" s="9"/>
      <x:c r="K228" s="10"/>
      <x:c r="L228" s="7"/>
      <x:c r="M228" s="8"/>
      <x:c r="N228" s="17"/>
      <x:c r="O228" s="17"/>
    </x:row>
    <x:row r="229" ht="15" hidden="0" customHeight="1">
      <x:c r="A229" s="7"/>
      <x:c r="B229" s="7"/>
      <x:c r="C229" s="7"/>
      <x:c r="D229" s="8"/>
      <x:c r="E229" s="7"/>
      <x:c r="F229" s="7"/>
      <x:c r="G229" s="7"/>
      <x:c r="H229" s="7"/>
      <x:c r="I229" s="7"/>
      <x:c r="J229" s="9"/>
      <x:c r="K229" s="10"/>
      <x:c r="L229" s="7"/>
      <x:c r="M229" s="8"/>
      <x:c r="N229" s="17"/>
      <x:c r="O229" s="17"/>
    </x:row>
    <x:row r="230" ht="15" hidden="0" customHeight="1">
      <x:c r="A230" s="7"/>
      <x:c r="B230" s="7"/>
      <x:c r="C230" s="7"/>
      <x:c r="D230" s="8"/>
      <x:c r="E230" s="7"/>
      <x:c r="F230" s="7"/>
      <x:c r="G230" s="7"/>
      <x:c r="H230" s="7"/>
      <x:c r="I230" s="7"/>
      <x:c r="J230" s="9"/>
      <x:c r="K230" s="10"/>
      <x:c r="L230" s="7"/>
      <x:c r="M230" s="8"/>
      <x:c r="N230" s="17"/>
      <x:c r="O230" s="17"/>
    </x:row>
    <x:row r="231" ht="15" hidden="0" customHeight="1">
      <x:c r="A231" s="7"/>
      <x:c r="B231" s="7"/>
      <x:c r="C231" s="7"/>
      <x:c r="D231" s="8"/>
      <x:c r="E231" s="7"/>
      <x:c r="F231" s="7"/>
      <x:c r="G231" s="7"/>
      <x:c r="H231" s="7"/>
      <x:c r="I231" s="7"/>
      <x:c r="J231" s="9"/>
      <x:c r="K231" s="10"/>
      <x:c r="L231" s="7"/>
      <x:c r="M231" s="8"/>
      <x:c r="N231" s="17"/>
      <x:c r="O231" s="17"/>
    </x:row>
    <x:row r="232" ht="15" hidden="0" customHeight="1">
      <x:c r="A232" s="7"/>
      <x:c r="B232" s="7"/>
      <x:c r="C232" s="7"/>
      <x:c r="D232" s="8"/>
      <x:c r="E232" s="7"/>
      <x:c r="F232" s="7"/>
      <x:c r="G232" s="7"/>
      <x:c r="H232" s="7"/>
      <x:c r="I232" s="7"/>
      <x:c r="J232" s="9"/>
      <x:c r="K232" s="10"/>
      <x:c r="L232" s="7"/>
      <x:c r="M232" s="8"/>
      <x:c r="N232" s="17"/>
      <x:c r="O232" s="17"/>
    </x:row>
    <x:row r="233" ht="15" hidden="0" customHeight="1">
      <x:c r="A233" s="7"/>
      <x:c r="B233" s="7"/>
      <x:c r="C233" s="7"/>
      <x:c r="D233" s="8"/>
      <x:c r="E233" s="7"/>
      <x:c r="F233" s="7"/>
      <x:c r="G233" s="7"/>
      <x:c r="H233" s="7"/>
      <x:c r="I233" s="7"/>
      <x:c r="J233" s="9"/>
      <x:c r="K233" s="10"/>
      <x:c r="L233" s="7"/>
      <x:c r="M233" s="8"/>
      <x:c r="N233" s="17"/>
      <x:c r="O233" s="17"/>
    </x:row>
    <x:row r="234" ht="15" hidden="0" customHeight="1">
      <x:c r="A234" s="7"/>
      <x:c r="B234" s="7"/>
      <x:c r="C234" s="7"/>
      <x:c r="D234" s="8"/>
      <x:c r="E234" s="7"/>
      <x:c r="F234" s="7"/>
      <x:c r="G234" s="7"/>
      <x:c r="H234" s="7"/>
      <x:c r="I234" s="7"/>
      <x:c r="J234" s="9"/>
      <x:c r="K234" s="10"/>
      <x:c r="L234" s="7"/>
      <x:c r="M234" s="8"/>
      <x:c r="N234" s="17"/>
      <x:c r="O234" s="17"/>
    </x:row>
    <x:row r="235" ht="15" hidden="0" customHeight="1">
      <x:c r="A235" s="7"/>
      <x:c r="B235" s="7"/>
      <x:c r="C235" s="7"/>
      <x:c r="D235" s="8"/>
      <x:c r="E235" s="7"/>
      <x:c r="F235" s="7"/>
      <x:c r="G235" s="7"/>
      <x:c r="H235" s="7"/>
      <x:c r="I235" s="7"/>
      <x:c r="J235" s="9"/>
      <x:c r="K235" s="10"/>
      <x:c r="L235" s="7"/>
      <x:c r="M235" s="8"/>
      <x:c r="N235" s="17"/>
      <x:c r="O235" s="17"/>
    </x:row>
    <x:row r="236" ht="15" hidden="0" customHeight="1">
      <x:c r="A236" s="7"/>
      <x:c r="B236" s="7"/>
      <x:c r="C236" s="7"/>
      <x:c r="D236" s="8"/>
      <x:c r="E236" s="7"/>
      <x:c r="F236" s="7"/>
      <x:c r="G236" s="7"/>
      <x:c r="H236" s="7"/>
      <x:c r="I236" s="7"/>
      <x:c r="J236" s="9"/>
      <x:c r="K236" s="10"/>
      <x:c r="L236" s="7"/>
      <x:c r="M236" s="8"/>
      <x:c r="N236" s="17"/>
      <x:c r="O236" s="17"/>
    </x:row>
    <x:row r="237" ht="15" hidden="0" customHeight="1">
      <x:c r="A237" s="7"/>
      <x:c r="B237" s="7"/>
      <x:c r="C237" s="7"/>
      <x:c r="D237" s="8"/>
      <x:c r="E237" s="7"/>
      <x:c r="F237" s="7"/>
      <x:c r="G237" s="7"/>
      <x:c r="H237" s="7"/>
      <x:c r="I237" s="7"/>
      <x:c r="J237" s="9"/>
      <x:c r="K237" s="10"/>
      <x:c r="L237" s="7"/>
      <x:c r="M237" s="8"/>
      <x:c r="N237" s="17"/>
      <x:c r="O237" s="17"/>
    </x:row>
    <x:row r="238" ht="15" hidden="0" customHeight="1">
      <x:c r="A238" s="7"/>
      <x:c r="B238" s="7"/>
      <x:c r="C238" s="7"/>
      <x:c r="D238" s="8"/>
      <x:c r="E238" s="7"/>
      <x:c r="F238" s="7"/>
      <x:c r="G238" s="7"/>
      <x:c r="H238" s="7"/>
      <x:c r="I238" s="7"/>
      <x:c r="J238" s="9"/>
      <x:c r="K238" s="10"/>
      <x:c r="L238" s="7"/>
      <x:c r="M238" s="8"/>
      <x:c r="N238" s="17"/>
      <x:c r="O238" s="17"/>
    </x:row>
    <x:row r="239" ht="15" hidden="0" customHeight="1">
      <x:c r="A239" s="7"/>
      <x:c r="B239" s="7"/>
      <x:c r="C239" s="7"/>
      <x:c r="D239" s="8"/>
      <x:c r="E239" s="7"/>
      <x:c r="F239" s="7"/>
      <x:c r="G239" s="7"/>
      <x:c r="H239" s="7"/>
      <x:c r="I239" s="7"/>
      <x:c r="J239" s="9"/>
      <x:c r="K239" s="10"/>
      <x:c r="L239" s="7"/>
      <x:c r="M239" s="8"/>
      <x:c r="N239" s="17"/>
      <x:c r="O239" s="17"/>
    </x:row>
    <x:row r="240" ht="15" hidden="0" customHeight="1">
      <x:c r="A240" s="7"/>
      <x:c r="B240" s="7"/>
      <x:c r="C240" s="7"/>
      <x:c r="D240" s="8"/>
      <x:c r="E240" s="7"/>
      <x:c r="F240" s="7"/>
      <x:c r="G240" s="7"/>
      <x:c r="H240" s="7"/>
      <x:c r="I240" s="7"/>
      <x:c r="J240" s="9"/>
      <x:c r="K240" s="10"/>
      <x:c r="L240" s="7"/>
      <x:c r="M240" s="8"/>
      <x:c r="N240" s="17"/>
      <x:c r="O240" s="17"/>
    </x:row>
    <x:row r="241" ht="15" hidden="0" customHeight="1">
      <x:c r="A241" s="7"/>
      <x:c r="B241" s="7"/>
      <x:c r="C241" s="7"/>
      <x:c r="D241" s="8"/>
      <x:c r="E241" s="7"/>
      <x:c r="F241" s="7"/>
      <x:c r="G241" s="7"/>
      <x:c r="H241" s="7"/>
      <x:c r="I241" s="7"/>
      <x:c r="J241" s="9"/>
      <x:c r="K241" s="10"/>
      <x:c r="L241" s="7"/>
      <x:c r="M241" s="8"/>
      <x:c r="N241" s="17"/>
      <x:c r="O241" s="17"/>
    </x:row>
    <x:row r="242" ht="15" hidden="0" customHeight="1">
      <x:c r="A242" s="7"/>
      <x:c r="B242" s="7"/>
      <x:c r="C242" s="7"/>
      <x:c r="D242" s="8"/>
      <x:c r="E242" s="7"/>
      <x:c r="F242" s="7"/>
      <x:c r="G242" s="7"/>
      <x:c r="H242" s="7"/>
      <x:c r="I242" s="7"/>
      <x:c r="J242" s="9"/>
      <x:c r="K242" s="10"/>
      <x:c r="L242" s="7"/>
      <x:c r="M242" s="8"/>
      <x:c r="N242" s="17"/>
      <x:c r="O242" s="17"/>
    </x:row>
    <x:row r="243" ht="15" hidden="0" customHeight="1">
      <x:c r="A243" s="7"/>
      <x:c r="B243" s="7"/>
      <x:c r="C243" s="7"/>
      <x:c r="D243" s="8"/>
      <x:c r="E243" s="7"/>
      <x:c r="F243" s="7"/>
      <x:c r="G243" s="7"/>
      <x:c r="H243" s="7"/>
      <x:c r="I243" s="7"/>
      <x:c r="J243" s="9"/>
      <x:c r="K243" s="10"/>
      <x:c r="L243" s="7"/>
      <x:c r="M243" s="8"/>
      <x:c r="N243" s="17"/>
      <x:c r="O243" s="17"/>
    </x:row>
    <x:row r="244" ht="15" hidden="0" customHeight="1">
      <x:c r="A244" s="7"/>
      <x:c r="B244" s="7"/>
      <x:c r="C244" s="7"/>
      <x:c r="D244" s="8"/>
      <x:c r="E244" s="7"/>
      <x:c r="F244" s="7"/>
      <x:c r="G244" s="7"/>
      <x:c r="H244" s="7"/>
      <x:c r="I244" s="7"/>
      <x:c r="J244" s="9"/>
      <x:c r="K244" s="10"/>
      <x:c r="L244" s="7"/>
      <x:c r="M244" s="8"/>
      <x:c r="N244" s="17"/>
      <x:c r="O244" s="17"/>
    </x:row>
    <x:row r="245" ht="15" hidden="0" customHeight="1">
      <x:c r="A245" s="7"/>
      <x:c r="B245" s="7"/>
      <x:c r="C245" s="7"/>
      <x:c r="D245" s="8"/>
      <x:c r="E245" s="7"/>
      <x:c r="F245" s="7"/>
      <x:c r="G245" s="7"/>
      <x:c r="H245" s="7"/>
      <x:c r="I245" s="7"/>
      <x:c r="J245" s="9"/>
      <x:c r="K245" s="10"/>
      <x:c r="L245" s="7"/>
      <x:c r="M245" s="8"/>
      <x:c r="N245" s="17"/>
      <x:c r="O245" s="17"/>
    </x:row>
    <x:row r="246" ht="15" hidden="0" customHeight="1">
      <x:c r="A246" s="7"/>
      <x:c r="B246" s="7"/>
      <x:c r="C246" s="7"/>
      <x:c r="D246" s="8"/>
      <x:c r="E246" s="7"/>
      <x:c r="F246" s="7"/>
      <x:c r="G246" s="7"/>
      <x:c r="H246" s="7"/>
      <x:c r="I246" s="7"/>
      <x:c r="J246" s="9"/>
      <x:c r="K246" s="10"/>
      <x:c r="L246" s="7"/>
      <x:c r="M246" s="8"/>
      <x:c r="N246" s="17"/>
      <x:c r="O246" s="17"/>
    </x:row>
    <x:row r="247" ht="15" hidden="0" customHeight="1">
      <x:c r="A247" s="7"/>
      <x:c r="B247" s="7"/>
      <x:c r="C247" s="7"/>
      <x:c r="D247" s="8"/>
      <x:c r="E247" s="7"/>
      <x:c r="F247" s="7"/>
      <x:c r="G247" s="7"/>
      <x:c r="H247" s="7"/>
      <x:c r="I247" s="7"/>
      <x:c r="J247" s="9"/>
      <x:c r="K247" s="10"/>
      <x:c r="L247" s="7"/>
      <x:c r="M247" s="8"/>
      <x:c r="N247" s="17"/>
      <x:c r="O247" s="17"/>
    </x:row>
    <x:row r="248" ht="15" hidden="0" customHeight="1">
      <x:c r="A248" s="7"/>
      <x:c r="B248" s="7"/>
      <x:c r="C248" s="7"/>
      <x:c r="D248" s="8"/>
      <x:c r="E248" s="7"/>
      <x:c r="F248" s="7"/>
      <x:c r="G248" s="7"/>
      <x:c r="H248" s="7"/>
      <x:c r="I248" s="7"/>
      <x:c r="J248" s="9"/>
      <x:c r="K248" s="10"/>
      <x:c r="L248" s="7"/>
      <x:c r="M248" s="8"/>
      <x:c r="N248" s="17"/>
      <x:c r="O248" s="17"/>
    </x:row>
    <x:row r="249" ht="15" hidden="0" customHeight="1">
      <x:c r="A249" s="7"/>
      <x:c r="B249" s="7"/>
      <x:c r="C249" s="7"/>
      <x:c r="D249" s="8"/>
      <x:c r="E249" s="7"/>
      <x:c r="F249" s="7"/>
      <x:c r="G249" s="7"/>
      <x:c r="H249" s="7"/>
      <x:c r="I249" s="7"/>
      <x:c r="J249" s="9"/>
      <x:c r="K249" s="10"/>
      <x:c r="L249" s="7"/>
      <x:c r="M249" s="8"/>
      <x:c r="N249" s="17"/>
      <x:c r="O249" s="17"/>
    </x:row>
    <x:row r="250" ht="15" hidden="0" customHeight="1">
      <x:c r="A250" s="7"/>
      <x:c r="B250" s="7"/>
      <x:c r="C250" s="7"/>
      <x:c r="D250" s="8"/>
      <x:c r="E250" s="7"/>
      <x:c r="F250" s="7"/>
      <x:c r="G250" s="7"/>
      <x:c r="H250" s="7"/>
      <x:c r="I250" s="7"/>
      <x:c r="J250" s="9"/>
      <x:c r="K250" s="10"/>
      <x:c r="L250" s="7"/>
      <x:c r="M250" s="8"/>
      <x:c r="N250" s="17"/>
      <x:c r="O250" s="17"/>
    </x:row>
    <x:row r="251" ht="15" hidden="0" customHeight="1">
      <x:c r="A251" s="7"/>
      <x:c r="B251" s="7"/>
      <x:c r="C251" s="7"/>
      <x:c r="D251" s="8"/>
      <x:c r="E251" s="7"/>
      <x:c r="F251" s="7"/>
      <x:c r="G251" s="7"/>
      <x:c r="H251" s="7"/>
      <x:c r="I251" s="7"/>
      <x:c r="J251" s="9"/>
      <x:c r="K251" s="10"/>
      <x:c r="L251" s="7"/>
      <x:c r="M251" s="8"/>
      <x:c r="N251" s="17"/>
      <x:c r="O251" s="17"/>
    </x:row>
    <x:row r="252" ht="15" hidden="0" customHeight="1">
      <x:c r="A252" s="7"/>
      <x:c r="B252" s="7"/>
      <x:c r="C252" s="7"/>
      <x:c r="D252" s="8"/>
      <x:c r="E252" s="7"/>
      <x:c r="F252" s="7"/>
      <x:c r="G252" s="7"/>
      <x:c r="H252" s="7"/>
      <x:c r="I252" s="7"/>
      <x:c r="J252" s="9"/>
      <x:c r="K252" s="10"/>
      <x:c r="L252" s="7"/>
      <x:c r="M252" s="8"/>
      <x:c r="N252" s="17"/>
      <x:c r="O252" s="17"/>
    </x:row>
    <x:row r="253" ht="15" hidden="0" customHeight="1">
      <x:c r="A253" s="7"/>
      <x:c r="B253" s="7"/>
      <x:c r="C253" s="7"/>
      <x:c r="D253" s="8"/>
      <x:c r="E253" s="7"/>
      <x:c r="F253" s="7"/>
      <x:c r="G253" s="7"/>
      <x:c r="H253" s="7"/>
      <x:c r="I253" s="7"/>
      <x:c r="J253" s="9"/>
      <x:c r="K253" s="10"/>
      <x:c r="L253" s="7"/>
      <x:c r="M253" s="8"/>
      <x:c r="N253" s="17"/>
      <x:c r="O253" s="17"/>
    </x:row>
    <x:row r="254" ht="15" hidden="0" customHeight="1">
      <x:c r="A254" s="7"/>
      <x:c r="B254" s="7"/>
      <x:c r="C254" s="7"/>
      <x:c r="D254" s="8"/>
      <x:c r="E254" s="7"/>
      <x:c r="F254" s="7"/>
      <x:c r="G254" s="7"/>
      <x:c r="H254" s="7"/>
      <x:c r="I254" s="7"/>
      <x:c r="J254" s="9"/>
      <x:c r="K254" s="10"/>
      <x:c r="L254" s="7"/>
      <x:c r="M254" s="8"/>
      <x:c r="N254" s="17"/>
      <x:c r="O254" s="17"/>
    </x:row>
    <x:row r="255" ht="15" hidden="0" customHeight="1">
      <x:c r="A255" s="7"/>
      <x:c r="B255" s="7"/>
      <x:c r="C255" s="7"/>
      <x:c r="D255" s="8"/>
      <x:c r="E255" s="7"/>
      <x:c r="F255" s="7"/>
      <x:c r="G255" s="7"/>
      <x:c r="H255" s="7"/>
      <x:c r="I255" s="7"/>
      <x:c r="J255" s="9"/>
      <x:c r="K255" s="10"/>
      <x:c r="L255" s="7"/>
      <x:c r="M255" s="8"/>
      <x:c r="N255" s="17"/>
      <x:c r="O255" s="17"/>
    </x:row>
    <x:row r="256" ht="15" hidden="0" customHeight="1">
      <x:c r="A256" s="7"/>
      <x:c r="B256" s="7"/>
      <x:c r="C256" s="7"/>
      <x:c r="D256" s="8"/>
      <x:c r="E256" s="7"/>
      <x:c r="F256" s="7"/>
      <x:c r="G256" s="7"/>
      <x:c r="H256" s="7"/>
      <x:c r="I256" s="7"/>
      <x:c r="J256" s="9"/>
      <x:c r="K256" s="10"/>
      <x:c r="L256" s="7"/>
      <x:c r="M256" s="8"/>
      <x:c r="N256" s="17"/>
      <x:c r="O256" s="17"/>
    </x:row>
    <x:row r="257" ht="15" hidden="0" customHeight="1">
      <x:c r="A257" s="7"/>
      <x:c r="B257" s="7"/>
      <x:c r="C257" s="7"/>
      <x:c r="D257" s="8"/>
      <x:c r="E257" s="7"/>
      <x:c r="F257" s="7"/>
      <x:c r="G257" s="7"/>
      <x:c r="H257" s="7"/>
      <x:c r="I257" s="7"/>
      <x:c r="J257" s="9"/>
      <x:c r="K257" s="10"/>
      <x:c r="L257" s="7"/>
      <x:c r="M257" s="8"/>
      <x:c r="N257" s="17"/>
      <x:c r="O257" s="17"/>
    </x:row>
    <x:row r="258" ht="15" hidden="0" customHeight="1">
      <x:c r="A258" s="7"/>
      <x:c r="B258" s="7"/>
      <x:c r="C258" s="7"/>
      <x:c r="D258" s="8"/>
      <x:c r="E258" s="7"/>
      <x:c r="F258" s="7"/>
      <x:c r="G258" s="7"/>
      <x:c r="H258" s="7"/>
      <x:c r="I258" s="7"/>
      <x:c r="J258" s="9"/>
      <x:c r="K258" s="10"/>
      <x:c r="L258" s="7"/>
      <x:c r="M258" s="8"/>
      <x:c r="N258" s="17"/>
      <x:c r="O258" s="17"/>
    </x:row>
    <x:row r="259" ht="15" hidden="0" customHeight="1">
      <x:c r="A259" s="7"/>
      <x:c r="B259" s="7"/>
      <x:c r="C259" s="7"/>
      <x:c r="D259" s="8"/>
      <x:c r="E259" s="7"/>
      <x:c r="F259" s="7"/>
      <x:c r="G259" s="7"/>
      <x:c r="H259" s="7"/>
      <x:c r="I259" s="7"/>
      <x:c r="J259" s="9"/>
      <x:c r="K259" s="10"/>
      <x:c r="L259" s="7"/>
      <x:c r="M259" s="8"/>
      <x:c r="N259" s="17"/>
      <x:c r="O259" s="17"/>
    </x:row>
    <x:row r="260" ht="15" hidden="0" customHeight="1">
      <x:c r="A260" s="7"/>
      <x:c r="B260" s="7"/>
      <x:c r="C260" s="7"/>
      <x:c r="D260" s="8"/>
      <x:c r="E260" s="7"/>
      <x:c r="F260" s="7"/>
      <x:c r="G260" s="7"/>
      <x:c r="H260" s="7"/>
      <x:c r="I260" s="7"/>
      <x:c r="J260" s="9"/>
      <x:c r="K260" s="10"/>
      <x:c r="L260" s="7"/>
      <x:c r="M260" s="8"/>
      <x:c r="N260" s="17"/>
      <x:c r="O260" s="17"/>
    </x:row>
    <x:row r="261" ht="15" hidden="0" customHeight="1">
      <x:c r="A261" s="7"/>
      <x:c r="B261" s="7"/>
      <x:c r="C261" s="7"/>
      <x:c r="D261" s="8"/>
      <x:c r="E261" s="7"/>
      <x:c r="F261" s="7"/>
      <x:c r="G261" s="7"/>
      <x:c r="H261" s="7"/>
      <x:c r="I261" s="7"/>
      <x:c r="J261" s="9"/>
      <x:c r="K261" s="10"/>
      <x:c r="L261" s="7"/>
      <x:c r="M261" s="8"/>
      <x:c r="N261" s="17"/>
      <x:c r="O261" s="17"/>
    </x:row>
    <x:row r="262" ht="15" hidden="0" customHeight="1">
      <x:c r="A262" s="7"/>
      <x:c r="B262" s="7"/>
      <x:c r="C262" s="7"/>
      <x:c r="D262" s="8"/>
      <x:c r="E262" s="7"/>
      <x:c r="F262" s="7"/>
      <x:c r="G262" s="7"/>
      <x:c r="H262" s="7"/>
      <x:c r="I262" s="7"/>
      <x:c r="J262" s="9"/>
      <x:c r="K262" s="10"/>
      <x:c r="L262" s="7"/>
      <x:c r="M262" s="8"/>
      <x:c r="N262" s="17"/>
      <x:c r="O262" s="17"/>
    </x:row>
    <x:row r="263" ht="15" hidden="0" customHeight="1">
      <x:c r="A263" s="7"/>
      <x:c r="B263" s="7"/>
      <x:c r="C263" s="7"/>
      <x:c r="D263" s="8"/>
      <x:c r="E263" s="7"/>
      <x:c r="F263" s="7"/>
      <x:c r="G263" s="7"/>
      <x:c r="H263" s="7"/>
      <x:c r="I263" s="7"/>
      <x:c r="J263" s="9"/>
      <x:c r="K263" s="10"/>
      <x:c r="L263" s="7"/>
      <x:c r="M263" s="8"/>
      <x:c r="N263" s="17"/>
      <x:c r="O263" s="17"/>
    </x:row>
    <x:row r="264" ht="15" hidden="0" customHeight="1">
      <x:c r="A264" s="7"/>
      <x:c r="B264" s="7"/>
      <x:c r="C264" s="7"/>
      <x:c r="D264" s="8"/>
      <x:c r="E264" s="7"/>
      <x:c r="F264" s="7"/>
      <x:c r="G264" s="7"/>
      <x:c r="H264" s="7"/>
      <x:c r="I264" s="7"/>
      <x:c r="J264" s="9"/>
      <x:c r="K264" s="10"/>
      <x:c r="L264" s="7"/>
      <x:c r="M264" s="8"/>
      <x:c r="N264" s="17"/>
      <x:c r="O264" s="17"/>
    </x:row>
    <x:row r="265" ht="15" hidden="0" customHeight="1">
      <x:c r="A265" s="7"/>
      <x:c r="B265" s="7"/>
      <x:c r="C265" s="7"/>
      <x:c r="D265" s="8"/>
      <x:c r="E265" s="7"/>
      <x:c r="F265" s="7"/>
      <x:c r="G265" s="7"/>
      <x:c r="H265" s="7"/>
      <x:c r="I265" s="7"/>
      <x:c r="J265" s="9"/>
      <x:c r="K265" s="10"/>
      <x:c r="L265" s="7"/>
      <x:c r="M265" s="8"/>
      <x:c r="N265" s="17"/>
      <x:c r="O265" s="17"/>
    </x:row>
    <x:row r="266" ht="15" hidden="0" customHeight="1">
      <x:c r="A266" s="7"/>
      <x:c r="B266" s="7"/>
      <x:c r="C266" s="7"/>
      <x:c r="D266" s="8"/>
      <x:c r="E266" s="7"/>
      <x:c r="F266" s="7"/>
      <x:c r="G266" s="7"/>
      <x:c r="H266" s="7"/>
      <x:c r="I266" s="7"/>
      <x:c r="J266" s="9"/>
      <x:c r="K266" s="10"/>
      <x:c r="L266" s="7"/>
      <x:c r="M266" s="8"/>
      <x:c r="N266" s="17"/>
      <x:c r="O266" s="17"/>
    </x:row>
    <x:row r="267" ht="15" hidden="0" customHeight="1">
      <x:c r="A267" s="7"/>
      <x:c r="B267" s="7"/>
      <x:c r="C267" s="7"/>
      <x:c r="D267" s="8"/>
      <x:c r="E267" s="7"/>
      <x:c r="F267" s="7"/>
      <x:c r="G267" s="7"/>
      <x:c r="H267" s="7"/>
      <x:c r="I267" s="7"/>
      <x:c r="J267" s="9"/>
      <x:c r="K267" s="10"/>
      <x:c r="L267" s="7"/>
      <x:c r="M267" s="8"/>
      <x:c r="N267" s="17"/>
      <x:c r="O267" s="17"/>
    </x:row>
    <x:row r="268" ht="15" hidden="0" customHeight="1">
      <x:c r="A268" s="7"/>
      <x:c r="B268" s="7"/>
      <x:c r="C268" s="7"/>
      <x:c r="D268" s="8"/>
      <x:c r="E268" s="7"/>
      <x:c r="F268" s="7"/>
      <x:c r="G268" s="7"/>
      <x:c r="H268" s="7"/>
      <x:c r="I268" s="7"/>
      <x:c r="J268" s="9"/>
      <x:c r="K268" s="10"/>
      <x:c r="L268" s="7"/>
      <x:c r="M268" s="8"/>
      <x:c r="N268" s="17"/>
      <x:c r="O268" s="17"/>
    </x:row>
    <x:row r="269" ht="15" hidden="0" customHeight="1">
      <x:c r="A269" s="7"/>
      <x:c r="B269" s="7"/>
      <x:c r="C269" s="7"/>
      <x:c r="D269" s="8"/>
      <x:c r="E269" s="7"/>
      <x:c r="F269" s="7"/>
      <x:c r="G269" s="7"/>
      <x:c r="H269" s="7"/>
      <x:c r="I269" s="7"/>
      <x:c r="J269" s="9"/>
      <x:c r="K269" s="10"/>
      <x:c r="L269" s="7"/>
      <x:c r="M269" s="8"/>
      <x:c r="N269" s="17"/>
      <x:c r="O269" s="17"/>
    </x:row>
    <x:row r="270" ht="15" hidden="0" customHeight="1">
      <x:c r="A270" s="7"/>
      <x:c r="B270" s="7"/>
      <x:c r="C270" s="7"/>
      <x:c r="D270" s="8"/>
      <x:c r="E270" s="7"/>
      <x:c r="F270" s="7"/>
      <x:c r="G270" s="7"/>
      <x:c r="H270" s="7"/>
      <x:c r="I270" s="7"/>
      <x:c r="J270" s="9"/>
      <x:c r="K270" s="10"/>
      <x:c r="L270" s="7"/>
      <x:c r="M270" s="8"/>
      <x:c r="N270" s="17"/>
      <x:c r="O270" s="17"/>
    </x:row>
    <x:row r="271" ht="15" hidden="0" customHeight="1">
      <x:c r="A271" s="7"/>
      <x:c r="B271" s="7"/>
      <x:c r="C271" s="7"/>
      <x:c r="D271" s="8"/>
      <x:c r="E271" s="7"/>
      <x:c r="F271" s="7"/>
      <x:c r="G271" s="7"/>
      <x:c r="H271" s="7"/>
      <x:c r="I271" s="7"/>
      <x:c r="J271" s="9"/>
      <x:c r="K271" s="10"/>
      <x:c r="L271" s="7"/>
      <x:c r="M271" s="8"/>
      <x:c r="N271" s="17"/>
      <x:c r="O271" s="17"/>
    </x:row>
    <x:row r="272" ht="15" hidden="0" customHeight="1">
      <x:c r="A272" s="7"/>
      <x:c r="B272" s="7"/>
      <x:c r="C272" s="7"/>
      <x:c r="D272" s="8"/>
      <x:c r="E272" s="7"/>
      <x:c r="F272" s="7"/>
      <x:c r="G272" s="7"/>
      <x:c r="H272" s="7"/>
      <x:c r="I272" s="7"/>
      <x:c r="J272" s="9"/>
      <x:c r="K272" s="10"/>
      <x:c r="L272" s="7"/>
      <x:c r="M272" s="8"/>
      <x:c r="N272" s="17"/>
      <x:c r="O272" s="17"/>
    </x:row>
    <x:row r="273" ht="15" hidden="0" customHeight="1">
      <x:c r="A273" s="7"/>
      <x:c r="B273" s="7"/>
      <x:c r="C273" s="7"/>
      <x:c r="D273" s="8"/>
      <x:c r="E273" s="7"/>
      <x:c r="F273" s="7"/>
      <x:c r="G273" s="7"/>
      <x:c r="H273" s="7"/>
      <x:c r="I273" s="7"/>
      <x:c r="J273" s="9"/>
      <x:c r="K273" s="10"/>
      <x:c r="L273" s="7"/>
      <x:c r="M273" s="8"/>
      <x:c r="N273" s="17"/>
      <x:c r="O273" s="17"/>
    </x:row>
    <x:row r="274" ht="15" hidden="0" customHeight="1">
      <x:c r="A274" s="7"/>
      <x:c r="B274" s="7"/>
      <x:c r="C274" s="7"/>
      <x:c r="D274" s="8"/>
      <x:c r="E274" s="7"/>
      <x:c r="F274" s="7"/>
      <x:c r="G274" s="7"/>
      <x:c r="H274" s="7"/>
      <x:c r="I274" s="7"/>
      <x:c r="J274" s="9"/>
      <x:c r="K274" s="10"/>
      <x:c r="L274" s="7"/>
      <x:c r="M274" s="8"/>
      <x:c r="N274" s="17"/>
      <x:c r="O274" s="17"/>
    </x:row>
    <x:row r="275" ht="15" hidden="0" customHeight="1">
      <x:c r="A275" s="7"/>
      <x:c r="B275" s="7"/>
      <x:c r="C275" s="7"/>
      <x:c r="D275" s="8"/>
      <x:c r="E275" s="7"/>
      <x:c r="F275" s="7"/>
      <x:c r="G275" s="7"/>
      <x:c r="H275" s="7"/>
      <x:c r="I275" s="7"/>
      <x:c r="J275" s="9"/>
      <x:c r="K275" s="10"/>
      <x:c r="L275" s="7"/>
      <x:c r="M275" s="8"/>
      <x:c r="N275" s="17"/>
      <x:c r="O275" s="17"/>
    </x:row>
    <x:row r="276" ht="15" hidden="0" customHeight="1">
      <x:c r="A276" s="7"/>
      <x:c r="B276" s="7"/>
      <x:c r="C276" s="7"/>
      <x:c r="D276" s="8"/>
      <x:c r="E276" s="7"/>
      <x:c r="F276" s="7"/>
      <x:c r="G276" s="7"/>
      <x:c r="H276" s="7"/>
      <x:c r="I276" s="7"/>
      <x:c r="J276" s="9"/>
      <x:c r="K276" s="10"/>
      <x:c r="L276" s="7"/>
      <x:c r="M276" s="8"/>
      <x:c r="N276" s="17"/>
      <x:c r="O276" s="17"/>
    </x:row>
    <x:row r="277" ht="15" hidden="0" customHeight="1">
      <x:c r="A277" s="7"/>
      <x:c r="B277" s="7"/>
      <x:c r="C277" s="7"/>
      <x:c r="D277" s="8"/>
      <x:c r="E277" s="7"/>
      <x:c r="F277" s="7"/>
      <x:c r="G277" s="7"/>
      <x:c r="H277" s="7"/>
      <x:c r="I277" s="7"/>
      <x:c r="J277" s="9"/>
      <x:c r="K277" s="10"/>
      <x:c r="L277" s="7"/>
      <x:c r="M277" s="8"/>
      <x:c r="N277" s="17"/>
      <x:c r="O277" s="17"/>
    </x:row>
    <x:row r="278" ht="15" hidden="0" customHeight="1">
      <x:c r="A278" s="7"/>
      <x:c r="B278" s="7"/>
      <x:c r="C278" s="7"/>
      <x:c r="D278" s="8"/>
      <x:c r="E278" s="7"/>
      <x:c r="F278" s="7"/>
      <x:c r="G278" s="7"/>
      <x:c r="H278" s="7"/>
      <x:c r="I278" s="7"/>
      <x:c r="J278" s="9"/>
      <x:c r="K278" s="10"/>
      <x:c r="L278" s="7"/>
      <x:c r="M278" s="8"/>
      <x:c r="N278" s="17"/>
      <x:c r="O278" s="17"/>
    </x:row>
    <x:row r="279" ht="15" hidden="0" customHeight="1">
      <x:c r="A279" s="7"/>
      <x:c r="B279" s="7"/>
      <x:c r="C279" s="7"/>
      <x:c r="D279" s="8"/>
      <x:c r="E279" s="7"/>
      <x:c r="F279" s="7"/>
      <x:c r="G279" s="7"/>
      <x:c r="H279" s="7"/>
      <x:c r="I279" s="7"/>
      <x:c r="J279" s="9"/>
      <x:c r="K279" s="10"/>
      <x:c r="L279" s="7"/>
      <x:c r="M279" s="8"/>
      <x:c r="N279" s="17"/>
      <x:c r="O279" s="17"/>
    </x:row>
    <x:row r="280" ht="15" hidden="0" customHeight="1">
      <x:c r="A280" s="7"/>
      <x:c r="B280" s="7"/>
      <x:c r="C280" s="7"/>
      <x:c r="D280" s="8"/>
      <x:c r="E280" s="7"/>
      <x:c r="F280" s="7"/>
      <x:c r="G280" s="7"/>
      <x:c r="H280" s="7"/>
      <x:c r="I280" s="7"/>
      <x:c r="J280" s="9"/>
      <x:c r="K280" s="10"/>
      <x:c r="L280" s="7"/>
      <x:c r="M280" s="8"/>
      <x:c r="N280" s="17"/>
      <x:c r="O280" s="17"/>
    </x:row>
    <x:row r="281" ht="15" hidden="0" customHeight="1">
      <x:c r="A281" s="7"/>
      <x:c r="B281" s="7"/>
      <x:c r="C281" s="7"/>
      <x:c r="D281" s="8"/>
      <x:c r="E281" s="7"/>
      <x:c r="F281" s="7"/>
      <x:c r="G281" s="7"/>
      <x:c r="H281" s="7"/>
      <x:c r="I281" s="7"/>
      <x:c r="J281" s="9"/>
      <x:c r="K281" s="10"/>
      <x:c r="L281" s="7"/>
      <x:c r="M281" s="8"/>
      <x:c r="N281" s="17"/>
      <x:c r="O281" s="17"/>
    </x:row>
    <x:row r="282" ht="15" hidden="0" customHeight="1">
      <x:c r="A282" s="7"/>
      <x:c r="B282" s="7"/>
      <x:c r="C282" s="7"/>
      <x:c r="D282" s="8"/>
      <x:c r="E282" s="7"/>
      <x:c r="F282" s="7"/>
      <x:c r="G282" s="7"/>
      <x:c r="H282" s="7"/>
      <x:c r="I282" s="7"/>
      <x:c r="J282" s="9"/>
      <x:c r="K282" s="10"/>
      <x:c r="L282" s="7"/>
      <x:c r="M282" s="8"/>
      <x:c r="N282" s="17"/>
      <x:c r="O282" s="17"/>
    </x:row>
    <x:row r="283" ht="15" hidden="0" customHeight="1">
      <x:c r="A283" s="7"/>
      <x:c r="B283" s="7"/>
      <x:c r="C283" s="7"/>
      <x:c r="D283" s="8"/>
      <x:c r="E283" s="7"/>
      <x:c r="F283" s="7"/>
      <x:c r="G283" s="7"/>
      <x:c r="H283" s="7"/>
      <x:c r="I283" s="7"/>
      <x:c r="J283" s="9"/>
      <x:c r="K283" s="10"/>
      <x:c r="L283" s="7"/>
      <x:c r="M283" s="8"/>
      <x:c r="N283" s="17"/>
      <x:c r="O283" s="17"/>
    </x:row>
    <x:row r="284" ht="15" hidden="0" customHeight="1">
      <x:c r="A284" s="7"/>
      <x:c r="B284" s="7"/>
      <x:c r="C284" s="7"/>
      <x:c r="D284" s="8"/>
      <x:c r="E284" s="7"/>
      <x:c r="F284" s="7"/>
      <x:c r="G284" s="7"/>
      <x:c r="H284" s="7"/>
      <x:c r="I284" s="7"/>
      <x:c r="J284" s="9"/>
      <x:c r="K284" s="10"/>
      <x:c r="L284" s="7"/>
      <x:c r="M284" s="8"/>
      <x:c r="N284" s="17"/>
      <x:c r="O284" s="17"/>
    </x:row>
    <x:row r="285" ht="15" hidden="0" customHeight="1">
      <x:c r="A285" s="7"/>
      <x:c r="B285" s="7"/>
      <x:c r="C285" s="7"/>
      <x:c r="D285" s="8"/>
      <x:c r="E285" s="7"/>
      <x:c r="F285" s="7"/>
      <x:c r="G285" s="7"/>
      <x:c r="H285" s="7"/>
      <x:c r="I285" s="7"/>
      <x:c r="J285" s="9"/>
      <x:c r="K285" s="10"/>
      <x:c r="L285" s="7"/>
      <x:c r="M285" s="8"/>
      <x:c r="N285" s="17"/>
      <x:c r="O285" s="17"/>
    </x:row>
    <x:row r="286" ht="15" hidden="0" customHeight="1">
      <x:c r="A286" s="7"/>
      <x:c r="B286" s="7"/>
      <x:c r="C286" s="7"/>
      <x:c r="D286" s="8"/>
      <x:c r="E286" s="7"/>
      <x:c r="F286" s="7"/>
      <x:c r="G286" s="7"/>
      <x:c r="H286" s="7"/>
      <x:c r="I286" s="7"/>
      <x:c r="J286" s="9"/>
      <x:c r="K286" s="10"/>
      <x:c r="L286" s="7"/>
      <x:c r="M286" s="8"/>
      <x:c r="N286" s="17"/>
      <x:c r="O286" s="17"/>
    </x:row>
    <x:row r="287" ht="15" hidden="0" customHeight="1">
      <x:c r="A287" s="7"/>
      <x:c r="B287" s="7"/>
      <x:c r="C287" s="7"/>
      <x:c r="D287" s="8"/>
      <x:c r="E287" s="7"/>
      <x:c r="F287" s="7"/>
      <x:c r="G287" s="7"/>
      <x:c r="H287" s="7"/>
      <x:c r="I287" s="7"/>
      <x:c r="J287" s="9"/>
      <x:c r="K287" s="10"/>
      <x:c r="L287" s="7"/>
      <x:c r="M287" s="8"/>
      <x:c r="N287" s="17"/>
      <x:c r="O287" s="17"/>
    </x:row>
    <x:row r="288" ht="15" hidden="0" customHeight="1">
      <x:c r="A288" s="7"/>
      <x:c r="B288" s="7"/>
      <x:c r="C288" s="7"/>
      <x:c r="D288" s="8"/>
      <x:c r="E288" s="7"/>
      <x:c r="F288" s="7"/>
      <x:c r="G288" s="7"/>
      <x:c r="H288" s="7"/>
      <x:c r="I288" s="7"/>
      <x:c r="J288" s="9"/>
      <x:c r="K288" s="10"/>
      <x:c r="L288" s="7"/>
      <x:c r="M288" s="8"/>
      <x:c r="N288" s="17"/>
      <x:c r="O288" s="17"/>
    </x:row>
    <x:row r="289" ht="15" hidden="0" customHeight="1">
      <x:c r="A289" s="7"/>
      <x:c r="B289" s="7"/>
      <x:c r="C289" s="7"/>
      <x:c r="D289" s="8"/>
      <x:c r="E289" s="7"/>
      <x:c r="F289" s="7"/>
      <x:c r="G289" s="7"/>
      <x:c r="H289" s="7"/>
      <x:c r="I289" s="7"/>
      <x:c r="J289" s="9"/>
      <x:c r="K289" s="10"/>
      <x:c r="L289" s="7"/>
      <x:c r="M289" s="8"/>
      <x:c r="N289" s="17"/>
      <x:c r="O289" s="17"/>
    </x:row>
    <x:row r="290" ht="15" hidden="0" customHeight="1">
      <x:c r="A290" s="7"/>
      <x:c r="B290" s="7"/>
      <x:c r="C290" s="7"/>
      <x:c r="D290" s="8"/>
      <x:c r="E290" s="7"/>
      <x:c r="F290" s="7"/>
      <x:c r="G290" s="7"/>
      <x:c r="H290" s="7"/>
      <x:c r="I290" s="7"/>
      <x:c r="J290" s="9"/>
      <x:c r="K290" s="10"/>
      <x:c r="L290" s="7"/>
      <x:c r="M290" s="8"/>
      <x:c r="N290" s="17"/>
      <x:c r="O290" s="17"/>
    </x:row>
    <x:row r="291" ht="15" hidden="0" customHeight="1">
      <x:c r="A291" s="7"/>
      <x:c r="B291" s="7"/>
      <x:c r="C291" s="7"/>
      <x:c r="D291" s="8"/>
      <x:c r="E291" s="7"/>
      <x:c r="F291" s="7"/>
      <x:c r="G291" s="7"/>
      <x:c r="H291" s="7"/>
      <x:c r="I291" s="7"/>
      <x:c r="J291" s="9"/>
      <x:c r="K291" s="10"/>
      <x:c r="L291" s="7"/>
      <x:c r="M291" s="8"/>
      <x:c r="N291" s="17"/>
      <x:c r="O291" s="17"/>
    </x:row>
    <x:row r="292" ht="15" hidden="0" customHeight="1">
      <x:c r="A292" s="7"/>
      <x:c r="B292" s="7"/>
      <x:c r="C292" s="7"/>
      <x:c r="D292" s="8"/>
      <x:c r="E292" s="7"/>
      <x:c r="F292" s="7"/>
      <x:c r="G292" s="7"/>
      <x:c r="H292" s="7"/>
      <x:c r="I292" s="7"/>
      <x:c r="J292" s="9"/>
      <x:c r="K292" s="10"/>
      <x:c r="L292" s="7"/>
      <x:c r="M292" s="8"/>
      <x:c r="N292" s="17"/>
      <x:c r="O292" s="17"/>
    </x:row>
    <x:row r="293" ht="15" hidden="0" customHeight="1">
      <x:c r="A293" s="7"/>
      <x:c r="B293" s="7"/>
      <x:c r="C293" s="7"/>
      <x:c r="D293" s="8"/>
      <x:c r="E293" s="7"/>
      <x:c r="F293" s="7"/>
      <x:c r="G293" s="7"/>
      <x:c r="H293" s="7"/>
      <x:c r="I293" s="7"/>
      <x:c r="J293" s="9"/>
      <x:c r="K293" s="10"/>
      <x:c r="L293" s="7"/>
      <x:c r="M293" s="8"/>
      <x:c r="N293" s="17"/>
      <x:c r="O293" s="17"/>
    </x:row>
    <x:row r="294" ht="15" hidden="0" customHeight="1">
      <x:c r="A294" s="7"/>
      <x:c r="B294" s="7"/>
      <x:c r="C294" s="7"/>
      <x:c r="D294" s="8"/>
      <x:c r="E294" s="7"/>
      <x:c r="F294" s="7"/>
      <x:c r="G294" s="7"/>
      <x:c r="H294" s="7"/>
      <x:c r="I294" s="7"/>
      <x:c r="J294" s="9"/>
      <x:c r="K294" s="10"/>
      <x:c r="L294" s="7"/>
      <x:c r="M294" s="8"/>
      <x:c r="N294" s="17"/>
      <x:c r="O294" s="17"/>
    </x:row>
    <x:row r="295" ht="15" hidden="0" customHeight="1">
      <x:c r="A295" s="7"/>
      <x:c r="B295" s="7"/>
      <x:c r="C295" s="7"/>
      <x:c r="D295" s="8"/>
      <x:c r="E295" s="7"/>
      <x:c r="F295" s="7"/>
      <x:c r="G295" s="7"/>
      <x:c r="H295" s="7"/>
      <x:c r="I295" s="7"/>
      <x:c r="J295" s="9"/>
      <x:c r="K295" s="10"/>
      <x:c r="L295" s="7"/>
      <x:c r="M295" s="8"/>
      <x:c r="N295" s="17"/>
      <x:c r="O295" s="17"/>
    </x:row>
    <x:row r="296" ht="15" hidden="0" customHeight="1">
      <x:c r="A296" s="7"/>
      <x:c r="B296" s="7"/>
      <x:c r="C296" s="7"/>
      <x:c r="D296" s="8"/>
      <x:c r="E296" s="7"/>
      <x:c r="F296" s="7"/>
      <x:c r="G296" s="7"/>
      <x:c r="H296" s="7"/>
      <x:c r="I296" s="7"/>
      <x:c r="J296" s="9"/>
      <x:c r="K296" s="10"/>
      <x:c r="L296" s="7"/>
      <x:c r="M296" s="8"/>
      <x:c r="N296" s="17"/>
      <x:c r="O296" s="17"/>
    </x:row>
    <x:row r="297" ht="15" hidden="0" customHeight="1">
      <x:c r="A297" s="7"/>
      <x:c r="B297" s="7"/>
      <x:c r="C297" s="7"/>
      <x:c r="D297" s="8"/>
      <x:c r="E297" s="7"/>
      <x:c r="F297" s="7"/>
      <x:c r="G297" s="7"/>
      <x:c r="H297" s="7"/>
      <x:c r="I297" s="7"/>
      <x:c r="J297" s="9"/>
      <x:c r="K297" s="10"/>
      <x:c r="L297" s="7"/>
      <x:c r="M297" s="8"/>
      <x:c r="N297" s="17"/>
      <x:c r="O297" s="17"/>
    </x:row>
    <x:row r="298" ht="15" hidden="0" customHeight="1">
      <x:c r="A298" s="7"/>
      <x:c r="B298" s="7"/>
      <x:c r="C298" s="7"/>
      <x:c r="D298" s="8"/>
      <x:c r="E298" s="7"/>
      <x:c r="F298" s="7"/>
      <x:c r="G298" s="7"/>
      <x:c r="H298" s="7"/>
      <x:c r="I298" s="7"/>
      <x:c r="J298" s="9"/>
      <x:c r="K298" s="10"/>
      <x:c r="L298" s="7"/>
      <x:c r="M298" s="8"/>
      <x:c r="N298" s="17"/>
      <x:c r="O298" s="17"/>
    </x:row>
    <x:row r="299" ht="15" hidden="0" customHeight="1">
      <x:c r="A299" s="7"/>
      <x:c r="B299" s="7"/>
      <x:c r="C299" s="7"/>
      <x:c r="D299" s="8"/>
      <x:c r="E299" s="7"/>
      <x:c r="F299" s="7"/>
      <x:c r="G299" s="7"/>
      <x:c r="H299" s="7"/>
      <x:c r="I299" s="7"/>
      <x:c r="J299" s="9"/>
      <x:c r="K299" s="10"/>
      <x:c r="L299" s="7"/>
      <x:c r="M299" s="8"/>
      <x:c r="N299" s="17"/>
      <x:c r="O299" s="17"/>
    </x:row>
    <x:row r="300" ht="15" hidden="0" customHeight="1">
      <x:c r="A300" s="7"/>
      <x:c r="B300" s="7"/>
      <x:c r="C300" s="7"/>
      <x:c r="D300" s="8"/>
      <x:c r="E300" s="7"/>
      <x:c r="F300" s="7"/>
      <x:c r="G300" s="7"/>
      <x:c r="H300" s="7"/>
      <x:c r="I300" s="7"/>
      <x:c r="J300" s="9"/>
      <x:c r="K300" s="10"/>
      <x:c r="L300" s="7"/>
      <x:c r="M300" s="8"/>
      <x:c r="N300" s="17"/>
      <x:c r="O300" s="17"/>
    </x:row>
    <x:row r="301" ht="15" hidden="0" customHeight="1">
      <x:c r="A301" s="7"/>
      <x:c r="B301" s="7"/>
      <x:c r="C301" s="7"/>
      <x:c r="D301" s="8"/>
      <x:c r="E301" s="7"/>
      <x:c r="F301" s="7"/>
      <x:c r="G301" s="7"/>
      <x:c r="H301" s="7"/>
      <x:c r="I301" s="7"/>
      <x:c r="J301" s="9"/>
      <x:c r="K301" s="10"/>
      <x:c r="L301" s="7"/>
      <x:c r="M301" s="8"/>
      <x:c r="N301" s="17"/>
      <x:c r="O301" s="17"/>
    </x:row>
    <x:row r="302" ht="15" hidden="0" customHeight="1">
      <x:c r="A302" s="7"/>
      <x:c r="B302" s="7"/>
      <x:c r="C302" s="7"/>
      <x:c r="D302" s="8"/>
      <x:c r="E302" s="7"/>
      <x:c r="F302" s="7"/>
      <x:c r="G302" s="7"/>
      <x:c r="H302" s="7"/>
      <x:c r="I302" s="7"/>
      <x:c r="J302" s="9"/>
      <x:c r="K302" s="10"/>
      <x:c r="L302" s="7"/>
      <x:c r="M302" s="8"/>
      <x:c r="N302" s="17"/>
      <x:c r="O302" s="17"/>
    </x:row>
    <x:row r="303" ht="15" hidden="0" customHeight="1">
      <x:c r="A303" s="7"/>
      <x:c r="B303" s="7"/>
      <x:c r="C303" s="7"/>
      <x:c r="D303" s="8"/>
      <x:c r="E303" s="7"/>
      <x:c r="F303" s="7"/>
      <x:c r="G303" s="7"/>
      <x:c r="H303" s="7"/>
      <x:c r="I303" s="7"/>
      <x:c r="J303" s="9"/>
      <x:c r="K303" s="10"/>
      <x:c r="L303" s="7"/>
      <x:c r="M303" s="8"/>
      <x:c r="N303" s="17"/>
      <x:c r="O303" s="17"/>
    </x:row>
    <x:row r="304" ht="15" hidden="0" customHeight="1">
      <x:c r="A304" s="7"/>
      <x:c r="B304" s="7"/>
      <x:c r="C304" s="7"/>
      <x:c r="D304" s="8"/>
      <x:c r="E304" s="7"/>
      <x:c r="F304" s="7"/>
      <x:c r="G304" s="7"/>
      <x:c r="H304" s="7"/>
      <x:c r="I304" s="7"/>
      <x:c r="J304" s="9"/>
      <x:c r="K304" s="10"/>
      <x:c r="L304" s="7"/>
      <x:c r="M304" s="8"/>
      <x:c r="N304" s="17"/>
      <x:c r="O304" s="17"/>
    </x:row>
    <x:row r="305" ht="15" hidden="0" customHeight="1">
      <x:c r="A305" s="7"/>
      <x:c r="B305" s="7"/>
      <x:c r="C305" s="7"/>
      <x:c r="D305" s="8"/>
      <x:c r="E305" s="7"/>
      <x:c r="F305" s="7"/>
      <x:c r="G305" s="7"/>
      <x:c r="H305" s="7"/>
      <x:c r="I305" s="7"/>
      <x:c r="J305" s="9"/>
      <x:c r="K305" s="10"/>
      <x:c r="L305" s="7"/>
      <x:c r="M305" s="8"/>
      <x:c r="N305" s="17"/>
      <x:c r="O305" s="17"/>
    </x:row>
    <x:row r="306" ht="15" hidden="0" customHeight="1">
      <x:c r="A306" s="7"/>
      <x:c r="B306" s="7"/>
      <x:c r="C306" s="7"/>
      <x:c r="D306" s="8"/>
      <x:c r="E306" s="7"/>
      <x:c r="F306" s="7"/>
      <x:c r="G306" s="7"/>
      <x:c r="H306" s="7"/>
      <x:c r="I306" s="7"/>
      <x:c r="J306" s="9"/>
      <x:c r="K306" s="10"/>
      <x:c r="L306" s="7"/>
      <x:c r="M306" s="8"/>
      <x:c r="N306" s="17"/>
      <x:c r="O306" s="17"/>
    </x:row>
    <x:row r="307" ht="15" hidden="0" customHeight="1">
      <x:c r="A307" s="7"/>
      <x:c r="B307" s="7"/>
      <x:c r="C307" s="7"/>
      <x:c r="D307" s="8"/>
      <x:c r="E307" s="7"/>
      <x:c r="F307" s="7"/>
      <x:c r="G307" s="7"/>
      <x:c r="H307" s="7"/>
      <x:c r="I307" s="7"/>
      <x:c r="J307" s="9"/>
      <x:c r="K307" s="10"/>
      <x:c r="L307" s="7"/>
      <x:c r="M307" s="8"/>
      <x:c r="N307" s="17"/>
      <x:c r="O307" s="17"/>
    </x:row>
    <x:row r="308" ht="15" hidden="0" customHeight="1">
      <x:c r="A308" s="7"/>
      <x:c r="B308" s="7"/>
      <x:c r="C308" s="7"/>
      <x:c r="D308" s="8"/>
      <x:c r="E308" s="7"/>
      <x:c r="F308" s="7"/>
      <x:c r="G308" s="7"/>
      <x:c r="H308" s="7"/>
      <x:c r="I308" s="7"/>
      <x:c r="J308" s="9"/>
      <x:c r="K308" s="10"/>
      <x:c r="L308" s="7"/>
      <x:c r="M308" s="8"/>
      <x:c r="N308" s="17"/>
      <x:c r="O308" s="17"/>
    </x:row>
    <x:row r="309" ht="15" hidden="0" customHeight="1">
      <x:c r="A309" s="7"/>
      <x:c r="B309" s="7"/>
      <x:c r="C309" s="7"/>
      <x:c r="D309" s="8"/>
      <x:c r="E309" s="7"/>
      <x:c r="F309" s="7"/>
      <x:c r="G309" s="7"/>
      <x:c r="H309" s="7"/>
      <x:c r="I309" s="7"/>
      <x:c r="J309" s="9"/>
      <x:c r="K309" s="10"/>
      <x:c r="L309" s="7"/>
      <x:c r="M309" s="8"/>
      <x:c r="N309" s="17"/>
      <x:c r="O309" s="17"/>
    </x:row>
    <x:row r="310" ht="15" hidden="0" customHeight="1">
      <x:c r="A310" s="7"/>
      <x:c r="B310" s="7"/>
      <x:c r="C310" s="7"/>
      <x:c r="D310" s="8"/>
      <x:c r="E310" s="7"/>
      <x:c r="F310" s="7"/>
      <x:c r="G310" s="7"/>
      <x:c r="H310" s="7"/>
      <x:c r="I310" s="7"/>
      <x:c r="J310" s="9"/>
      <x:c r="K310" s="10"/>
      <x:c r="L310" s="7"/>
      <x:c r="M310" s="8"/>
      <x:c r="N310" s="17"/>
      <x:c r="O310" s="17"/>
    </x:row>
    <x:row r="311" ht="15" hidden="0" customHeight="1">
      <x:c r="A311" s="7"/>
      <x:c r="B311" s="7"/>
      <x:c r="C311" s="7"/>
      <x:c r="D311" s="8"/>
      <x:c r="E311" s="7"/>
      <x:c r="F311" s="7"/>
      <x:c r="G311" s="7"/>
      <x:c r="H311" s="7"/>
      <x:c r="I311" s="7"/>
      <x:c r="J311" s="9"/>
      <x:c r="K311" s="10"/>
      <x:c r="L311" s="7"/>
      <x:c r="M311" s="8"/>
      <x:c r="N311" s="17"/>
      <x:c r="O311" s="17"/>
    </x:row>
    <x:row r="312" ht="15" hidden="0" customHeight="1">
      <x:c r="A312" s="7"/>
      <x:c r="B312" s="7"/>
      <x:c r="C312" s="7"/>
      <x:c r="D312" s="8"/>
      <x:c r="E312" s="7"/>
      <x:c r="F312" s="7"/>
      <x:c r="G312" s="7"/>
      <x:c r="H312" s="7"/>
      <x:c r="I312" s="7"/>
      <x:c r="J312" s="9"/>
      <x:c r="K312" s="10"/>
      <x:c r="L312" s="7"/>
      <x:c r="M312" s="8"/>
      <x:c r="N312" s="17"/>
      <x:c r="O312" s="17"/>
    </x:row>
    <x:row r="313" ht="15" hidden="0" customHeight="1">
      <x:c r="A313" s="7"/>
      <x:c r="B313" s="7"/>
      <x:c r="C313" s="7"/>
      <x:c r="D313" s="8"/>
      <x:c r="E313" s="7"/>
      <x:c r="F313" s="7"/>
      <x:c r="G313" s="7"/>
      <x:c r="H313" s="7"/>
      <x:c r="I313" s="7"/>
      <x:c r="J313" s="9"/>
      <x:c r="K313" s="10"/>
      <x:c r="L313" s="7"/>
      <x:c r="M313" s="8"/>
      <x:c r="N313" s="17"/>
      <x:c r="O313" s="17"/>
    </x:row>
    <x:row r="314" ht="15" hidden="0" customHeight="1">
      <x:c r="A314" s="7"/>
      <x:c r="B314" s="7"/>
      <x:c r="C314" s="7"/>
      <x:c r="D314" s="8"/>
      <x:c r="E314" s="7"/>
      <x:c r="F314" s="7"/>
      <x:c r="G314" s="7"/>
      <x:c r="H314" s="7"/>
      <x:c r="I314" s="7"/>
      <x:c r="J314" s="9"/>
      <x:c r="K314" s="10"/>
      <x:c r="L314" s="7"/>
      <x:c r="M314" s="8"/>
      <x:c r="N314" s="17"/>
      <x:c r="O314" s="17"/>
    </x:row>
    <x:row r="315" ht="15" hidden="0" customHeight="1">
      <x:c r="A315" s="7"/>
      <x:c r="B315" s="7"/>
      <x:c r="C315" s="7"/>
      <x:c r="D315" s="8"/>
      <x:c r="E315" s="7"/>
      <x:c r="F315" s="7"/>
      <x:c r="G315" s="7"/>
      <x:c r="H315" s="7"/>
      <x:c r="I315" s="7"/>
      <x:c r="J315" s="9"/>
      <x:c r="K315" s="10"/>
      <x:c r="L315" s="7"/>
      <x:c r="M315" s="8"/>
      <x:c r="N315" s="17"/>
      <x:c r="O315" s="17"/>
    </x:row>
    <x:row r="316" ht="15" hidden="0" customHeight="1">
      <x:c r="A316" s="7"/>
      <x:c r="B316" s="7"/>
      <x:c r="C316" s="7"/>
      <x:c r="D316" s="8"/>
      <x:c r="E316" s="7"/>
      <x:c r="F316" s="7"/>
      <x:c r="G316" s="7"/>
      <x:c r="H316" s="7"/>
      <x:c r="I316" s="7"/>
      <x:c r="J316" s="9"/>
      <x:c r="K316" s="10"/>
      <x:c r="L316" s="7"/>
      <x:c r="M316" s="8"/>
      <x:c r="N316" s="17"/>
      <x:c r="O316" s="17"/>
    </x:row>
    <x:row r="317" ht="15" hidden="0" customHeight="1">
      <x:c r="A317" s="7"/>
      <x:c r="B317" s="7"/>
      <x:c r="C317" s="7"/>
      <x:c r="D317" s="8"/>
      <x:c r="E317" s="7"/>
      <x:c r="F317" s="7"/>
      <x:c r="G317" s="7"/>
      <x:c r="H317" s="7"/>
      <x:c r="I317" s="7"/>
      <x:c r="J317" s="9"/>
      <x:c r="K317" s="10"/>
      <x:c r="L317" s="7"/>
      <x:c r="M317" s="8"/>
      <x:c r="N317" s="17"/>
      <x:c r="O317" s="17"/>
    </x:row>
    <x:row r="318" ht="15" hidden="0" customHeight="1">
      <x:c r="A318" s="7"/>
      <x:c r="B318" s="7"/>
      <x:c r="C318" s="7"/>
      <x:c r="D318" s="8"/>
      <x:c r="E318" s="7"/>
      <x:c r="F318" s="7"/>
      <x:c r="G318" s="7"/>
      <x:c r="H318" s="7"/>
      <x:c r="I318" s="7"/>
      <x:c r="J318" s="9"/>
      <x:c r="K318" s="10"/>
      <x:c r="L318" s="7"/>
      <x:c r="M318" s="8"/>
      <x:c r="N318" s="17"/>
      <x:c r="O318" s="17"/>
    </x:row>
    <x:row r="319" ht="15" hidden="0" customHeight="1">
      <x:c r="A319" s="7"/>
      <x:c r="B319" s="7"/>
      <x:c r="C319" s="7"/>
      <x:c r="D319" s="8"/>
      <x:c r="E319" s="7"/>
      <x:c r="F319" s="7"/>
      <x:c r="G319" s="7"/>
      <x:c r="H319" s="7"/>
      <x:c r="I319" s="7"/>
      <x:c r="J319" s="9"/>
      <x:c r="K319" s="10"/>
      <x:c r="L319" s="7"/>
      <x:c r="M319" s="8"/>
      <x:c r="N319" s="17"/>
      <x:c r="O319" s="17"/>
    </x:row>
    <x:row r="320" ht="15" hidden="0" customHeight="1">
      <x:c r="A320" s="7"/>
      <x:c r="B320" s="7"/>
      <x:c r="C320" s="7"/>
      <x:c r="D320" s="8"/>
      <x:c r="E320" s="7"/>
      <x:c r="F320" s="7"/>
      <x:c r="G320" s="7"/>
      <x:c r="H320" s="7"/>
      <x:c r="I320" s="7"/>
      <x:c r="J320" s="9"/>
      <x:c r="K320" s="10"/>
      <x:c r="L320" s="7"/>
      <x:c r="M320" s="8"/>
      <x:c r="N320" s="17"/>
      <x:c r="O320" s="17"/>
    </x:row>
    <x:row r="321" ht="15" hidden="0" customHeight="1">
      <x:c r="A321" s="7"/>
      <x:c r="B321" s="7"/>
      <x:c r="C321" s="7"/>
      <x:c r="D321" s="8"/>
      <x:c r="E321" s="7"/>
      <x:c r="F321" s="7"/>
      <x:c r="G321" s="7"/>
      <x:c r="H321" s="7"/>
      <x:c r="I321" s="7"/>
      <x:c r="J321" s="9"/>
      <x:c r="K321" s="10"/>
      <x:c r="L321" s="7"/>
      <x:c r="M321" s="8"/>
      <x:c r="N321" s="17"/>
      <x:c r="O321" s="17"/>
    </x:row>
    <x:row r="322" ht="15" hidden="0" customHeight="1">
      <x:c r="A322" s="7"/>
      <x:c r="B322" s="7"/>
      <x:c r="C322" s="7"/>
      <x:c r="D322" s="8"/>
      <x:c r="E322" s="7"/>
      <x:c r="F322" s="7"/>
      <x:c r="G322" s="7"/>
      <x:c r="H322" s="7"/>
      <x:c r="I322" s="7"/>
      <x:c r="J322" s="9"/>
      <x:c r="K322" s="10"/>
      <x:c r="L322" s="7"/>
      <x:c r="M322" s="8"/>
      <x:c r="N322" s="17"/>
      <x:c r="O322" s="17"/>
    </x:row>
    <x:row r="323" ht="15" hidden="0" customHeight="1">
      <x:c r="A323" s="7"/>
      <x:c r="B323" s="7"/>
      <x:c r="C323" s="7"/>
      <x:c r="D323" s="8"/>
      <x:c r="E323" s="7"/>
      <x:c r="F323" s="7"/>
      <x:c r="G323" s="7"/>
      <x:c r="H323" s="7"/>
      <x:c r="I323" s="7"/>
      <x:c r="J323" s="9"/>
      <x:c r="K323" s="10"/>
      <x:c r="L323" s="7"/>
      <x:c r="M323" s="8"/>
      <x:c r="N323" s="17"/>
      <x:c r="O323" s="17"/>
    </x:row>
    <x:row r="324" ht="15" hidden="0" customHeight="1">
      <x:c r="A324" s="7"/>
      <x:c r="B324" s="7"/>
      <x:c r="C324" s="7"/>
      <x:c r="D324" s="8"/>
      <x:c r="E324" s="7"/>
      <x:c r="F324" s="7"/>
      <x:c r="G324" s="7"/>
      <x:c r="H324" s="7"/>
      <x:c r="I324" s="7"/>
      <x:c r="J324" s="9"/>
      <x:c r="K324" s="10"/>
      <x:c r="L324" s="7"/>
      <x:c r="M324" s="8"/>
      <x:c r="N324" s="17"/>
      <x:c r="O324" s="17"/>
    </x:row>
    <x:row r="325" ht="15" hidden="0" customHeight="1">
      <x:c r="A325" s="7"/>
      <x:c r="B325" s="7"/>
      <x:c r="C325" s="7"/>
      <x:c r="D325" s="8"/>
      <x:c r="E325" s="7"/>
      <x:c r="F325" s="7"/>
      <x:c r="G325" s="7"/>
      <x:c r="H325" s="7"/>
      <x:c r="I325" s="7"/>
      <x:c r="J325" s="9"/>
      <x:c r="K325" s="10"/>
      <x:c r="L325" s="7"/>
      <x:c r="M325" s="8"/>
      <x:c r="N325" s="17"/>
      <x:c r="O325" s="17"/>
    </x:row>
    <x:row r="326" ht="15" hidden="0" customHeight="1">
      <x:c r="A326" s="7"/>
      <x:c r="B326" s="7"/>
      <x:c r="C326" s="7"/>
      <x:c r="D326" s="8"/>
      <x:c r="E326" s="7"/>
      <x:c r="F326" s="7"/>
      <x:c r="G326" s="7"/>
      <x:c r="H326" s="7"/>
      <x:c r="I326" s="7"/>
      <x:c r="J326" s="9"/>
      <x:c r="K326" s="10"/>
      <x:c r="L326" s="7"/>
      <x:c r="M326" s="8"/>
      <x:c r="N326" s="17"/>
      <x:c r="O326" s="17"/>
    </x:row>
    <x:row r="327" ht="15" hidden="0" customHeight="1">
      <x:c r="A327" s="7"/>
      <x:c r="B327" s="7"/>
      <x:c r="C327" s="7"/>
      <x:c r="D327" s="8"/>
      <x:c r="E327" s="7"/>
      <x:c r="F327" s="7"/>
      <x:c r="G327" s="7"/>
      <x:c r="H327" s="7"/>
      <x:c r="I327" s="7"/>
      <x:c r="J327" s="9"/>
      <x:c r="K327" s="10"/>
      <x:c r="L327" s="7"/>
      <x:c r="M327" s="8"/>
      <x:c r="N327" s="17"/>
      <x:c r="O327" s="17"/>
    </x:row>
    <x:row r="328" ht="15" hidden="0" customHeight="1">
      <x:c r="A328" s="7"/>
      <x:c r="B328" s="7"/>
      <x:c r="C328" s="7"/>
      <x:c r="D328" s="8"/>
      <x:c r="E328" s="7"/>
      <x:c r="F328" s="7"/>
      <x:c r="G328" s="7"/>
      <x:c r="H328" s="7"/>
      <x:c r="I328" s="7"/>
      <x:c r="J328" s="9"/>
      <x:c r="K328" s="10"/>
      <x:c r="L328" s="7"/>
      <x:c r="M328" s="8"/>
      <x:c r="N328" s="17"/>
      <x:c r="O328" s="17"/>
    </x:row>
    <x:row r="329" ht="15" hidden="0" customHeight="1">
      <x:c r="A329" s="7"/>
      <x:c r="B329" s="7"/>
      <x:c r="C329" s="7"/>
      <x:c r="D329" s="8"/>
      <x:c r="E329" s="7"/>
      <x:c r="F329" s="7"/>
      <x:c r="G329" s="7"/>
      <x:c r="H329" s="7"/>
      <x:c r="I329" s="7"/>
      <x:c r="J329" s="9"/>
      <x:c r="K329" s="10"/>
      <x:c r="L329" s="7"/>
      <x:c r="M329" s="8"/>
      <x:c r="N329" s="17"/>
      <x:c r="O329" s="17"/>
    </x:row>
    <x:row r="330" ht="15" hidden="0" customHeight="1">
      <x:c r="A330" s="7"/>
      <x:c r="B330" s="7"/>
      <x:c r="C330" s="7"/>
      <x:c r="D330" s="8"/>
      <x:c r="E330" s="7"/>
      <x:c r="F330" s="7"/>
      <x:c r="G330" s="7"/>
      <x:c r="H330" s="7"/>
      <x:c r="I330" s="7"/>
      <x:c r="J330" s="9"/>
      <x:c r="K330" s="10"/>
      <x:c r="L330" s="7"/>
      <x:c r="M330" s="8"/>
      <x:c r="N330" s="17"/>
      <x:c r="O330" s="17"/>
    </x:row>
    <x:row r="331" ht="15" hidden="0" customHeight="1">
      <x:c r="A331" s="7"/>
      <x:c r="B331" s="7"/>
      <x:c r="C331" s="7"/>
      <x:c r="D331" s="8"/>
      <x:c r="E331" s="7"/>
      <x:c r="F331" s="7"/>
      <x:c r="G331" s="7"/>
      <x:c r="H331" s="7"/>
      <x:c r="I331" s="7"/>
      <x:c r="J331" s="9"/>
      <x:c r="K331" s="10"/>
      <x:c r="L331" s="7"/>
      <x:c r="M331" s="8"/>
      <x:c r="N331" s="17"/>
      <x:c r="O331" s="17"/>
    </x:row>
    <x:row r="332" ht="15" hidden="0" customHeight="1">
      <x:c r="A332" s="7"/>
      <x:c r="B332" s="7"/>
      <x:c r="C332" s="7"/>
      <x:c r="D332" s="8"/>
      <x:c r="E332" s="7"/>
      <x:c r="F332" s="7"/>
      <x:c r="G332" s="7"/>
      <x:c r="H332" s="7"/>
      <x:c r="I332" s="7"/>
      <x:c r="J332" s="9"/>
      <x:c r="K332" s="10"/>
      <x:c r="L332" s="7"/>
      <x:c r="M332" s="8"/>
      <x:c r="N332" s="17"/>
      <x:c r="O332" s="17"/>
    </x:row>
    <x:row r="333" ht="15" hidden="0" customHeight="1">
      <x:c r="A333" s="7"/>
      <x:c r="B333" s="7"/>
      <x:c r="C333" s="7"/>
      <x:c r="D333" s="8"/>
      <x:c r="E333" s="7"/>
      <x:c r="F333" s="7"/>
      <x:c r="G333" s="7"/>
      <x:c r="H333" s="7"/>
      <x:c r="I333" s="7"/>
      <x:c r="J333" s="9"/>
      <x:c r="K333" s="10"/>
      <x:c r="L333" s="7"/>
      <x:c r="M333" s="8"/>
      <x:c r="N333" s="17"/>
      <x:c r="O333" s="17"/>
    </x:row>
    <x:row r="334" ht="15" hidden="0" customHeight="1">
      <x:c r="A334" s="7"/>
      <x:c r="B334" s="7"/>
      <x:c r="C334" s="7"/>
      <x:c r="D334" s="8"/>
      <x:c r="E334" s="7"/>
      <x:c r="F334" s="7"/>
      <x:c r="G334" s="7"/>
      <x:c r="H334" s="7"/>
      <x:c r="I334" s="7"/>
      <x:c r="J334" s="9"/>
      <x:c r="K334" s="10"/>
      <x:c r="L334" s="7"/>
      <x:c r="M334" s="8"/>
      <x:c r="N334" s="17"/>
      <x:c r="O334" s="17"/>
    </x:row>
    <x:row r="335" ht="15" hidden="0" customHeight="1">
      <x:c r="A335" s="7"/>
      <x:c r="B335" s="7"/>
      <x:c r="C335" s="7"/>
      <x:c r="D335" s="8"/>
      <x:c r="E335" s="7"/>
      <x:c r="F335" s="7"/>
      <x:c r="G335" s="7"/>
      <x:c r="H335" s="7"/>
      <x:c r="I335" s="7"/>
      <x:c r="J335" s="9"/>
      <x:c r="K335" s="10"/>
      <x:c r="L335" s="7"/>
      <x:c r="M335" s="8"/>
      <x:c r="N335" s="17"/>
      <x:c r="O335" s="17"/>
    </x:row>
    <x:row r="336" ht="15" hidden="0" customHeight="1">
      <x:c r="A336" s="7"/>
      <x:c r="B336" s="7"/>
      <x:c r="C336" s="7"/>
      <x:c r="D336" s="8"/>
      <x:c r="E336" s="7"/>
      <x:c r="F336" s="7"/>
      <x:c r="G336" s="7"/>
      <x:c r="H336" s="7"/>
      <x:c r="I336" s="7"/>
      <x:c r="J336" s="9"/>
      <x:c r="K336" s="10"/>
      <x:c r="L336" s="7"/>
      <x:c r="M336" s="8"/>
      <x:c r="N336" s="17"/>
      <x:c r="O336" s="17"/>
    </x:row>
    <x:row r="337" ht="15" hidden="0" customHeight="1">
      <x:c r="A337" s="7"/>
      <x:c r="B337" s="7"/>
      <x:c r="C337" s="7"/>
      <x:c r="D337" s="8"/>
      <x:c r="E337" s="7"/>
      <x:c r="F337" s="7"/>
      <x:c r="G337" s="7"/>
      <x:c r="H337" s="7"/>
      <x:c r="I337" s="7"/>
      <x:c r="J337" s="9"/>
      <x:c r="K337" s="10"/>
      <x:c r="L337" s="7"/>
      <x:c r="M337" s="8"/>
      <x:c r="N337" s="17"/>
      <x:c r="O337" s="17"/>
    </x:row>
    <x:row r="338" ht="15" hidden="0" customHeight="1">
      <x:c r="A338" s="7"/>
      <x:c r="B338" s="7"/>
      <x:c r="C338" s="7"/>
      <x:c r="D338" s="8"/>
      <x:c r="E338" s="7"/>
      <x:c r="F338" s="7"/>
      <x:c r="G338" s="7"/>
      <x:c r="H338" s="7"/>
      <x:c r="I338" s="7"/>
      <x:c r="J338" s="9"/>
      <x:c r="K338" s="10"/>
      <x:c r="L338" s="7"/>
      <x:c r="M338" s="8"/>
      <x:c r="N338" s="17"/>
      <x:c r="O338" s="17"/>
    </x:row>
    <x:row r="339" ht="15" hidden="0" customHeight="1">
      <x:c r="A339" s="7"/>
      <x:c r="B339" s="7"/>
      <x:c r="C339" s="7"/>
      <x:c r="D339" s="8"/>
      <x:c r="E339" s="7"/>
      <x:c r="F339" s="7"/>
      <x:c r="G339" s="7"/>
      <x:c r="H339" s="7"/>
      <x:c r="I339" s="7"/>
      <x:c r="J339" s="9"/>
      <x:c r="K339" s="10"/>
      <x:c r="L339" s="7"/>
      <x:c r="M339" s="8"/>
      <x:c r="N339" s="17"/>
      <x:c r="O339" s="17"/>
    </x:row>
    <x:row r="340" ht="15" hidden="0" customHeight="1">
      <x:c r="A340" s="7"/>
      <x:c r="B340" s="7"/>
      <x:c r="C340" s="7"/>
      <x:c r="D340" s="8"/>
      <x:c r="E340" s="7"/>
      <x:c r="F340" s="7"/>
      <x:c r="G340" s="7"/>
      <x:c r="H340" s="7"/>
      <x:c r="I340" s="7"/>
      <x:c r="J340" s="9"/>
      <x:c r="K340" s="10"/>
      <x:c r="L340" s="7"/>
      <x:c r="M340" s="8"/>
      <x:c r="N340" s="17"/>
      <x:c r="O340" s="17"/>
    </x:row>
    <x:row r="341" ht="15" hidden="0" customHeight="1">
      <x:c r="A341" s="7"/>
      <x:c r="B341" s="7"/>
      <x:c r="C341" s="7"/>
      <x:c r="D341" s="8"/>
      <x:c r="E341" s="7"/>
      <x:c r="F341" s="7"/>
      <x:c r="G341" s="7"/>
      <x:c r="H341" s="7"/>
      <x:c r="I341" s="7"/>
      <x:c r="J341" s="9"/>
      <x:c r="K341" s="10"/>
      <x:c r="L341" s="7"/>
      <x:c r="M341" s="8"/>
      <x:c r="N341" s="17"/>
      <x:c r="O341" s="17"/>
    </x:row>
    <x:row r="342" ht="15" hidden="0" customHeight="1">
      <x:c r="A342" s="7"/>
      <x:c r="B342" s="7"/>
      <x:c r="C342" s="7"/>
      <x:c r="D342" s="8"/>
      <x:c r="E342" s="7"/>
      <x:c r="F342" s="7"/>
      <x:c r="G342" s="7"/>
      <x:c r="H342" s="7"/>
      <x:c r="I342" s="7"/>
      <x:c r="J342" s="9"/>
      <x:c r="K342" s="10"/>
      <x:c r="L342" s="7"/>
      <x:c r="M342" s="8"/>
      <x:c r="N342" s="17"/>
      <x:c r="O342" s="17"/>
    </x:row>
    <x:row r="343" ht="15" hidden="0" customHeight="1">
      <x:c r="A343" s="7"/>
      <x:c r="B343" s="7"/>
      <x:c r="C343" s="7"/>
      <x:c r="D343" s="8"/>
      <x:c r="E343" s="7"/>
      <x:c r="F343" s="7"/>
      <x:c r="G343" s="7"/>
      <x:c r="H343" s="7"/>
      <x:c r="I343" s="7"/>
      <x:c r="J343" s="9"/>
      <x:c r="K343" s="10"/>
      <x:c r="L343" s="7"/>
      <x:c r="M343" s="8"/>
      <x:c r="N343" s="17"/>
      <x:c r="O343" s="17"/>
    </x:row>
    <x:row r="344" ht="15" hidden="0" customHeight="1">
      <x:c r="A344" s="7"/>
      <x:c r="B344" s="7"/>
      <x:c r="C344" s="7"/>
      <x:c r="D344" s="8"/>
      <x:c r="E344" s="7"/>
      <x:c r="F344" s="7"/>
      <x:c r="G344" s="7"/>
      <x:c r="H344" s="7"/>
      <x:c r="I344" s="7"/>
      <x:c r="J344" s="9"/>
      <x:c r="K344" s="10"/>
      <x:c r="L344" s="7"/>
      <x:c r="M344" s="8"/>
      <x:c r="N344" s="17"/>
      <x:c r="O344" s="17"/>
    </x:row>
    <x:row r="345" ht="15" hidden="0" customHeight="1">
      <x:c r="A345" s="7"/>
      <x:c r="B345" s="7"/>
      <x:c r="C345" s="7"/>
      <x:c r="D345" s="8"/>
      <x:c r="E345" s="7"/>
      <x:c r="F345" s="7"/>
      <x:c r="G345" s="7"/>
      <x:c r="H345" s="7"/>
      <x:c r="I345" s="7"/>
      <x:c r="J345" s="9"/>
      <x:c r="K345" s="10"/>
      <x:c r="L345" s="7"/>
      <x:c r="M345" s="8"/>
      <x:c r="N345" s="17"/>
      <x:c r="O345" s="17"/>
    </x:row>
    <x:row r="346" ht="15" hidden="0" customHeight="1">
      <x:c r="A346" s="7"/>
      <x:c r="B346" s="7"/>
      <x:c r="C346" s="7"/>
      <x:c r="D346" s="8"/>
      <x:c r="E346" s="7"/>
      <x:c r="F346" s="7"/>
      <x:c r="G346" s="7"/>
      <x:c r="H346" s="7"/>
      <x:c r="I346" s="7"/>
      <x:c r="J346" s="9"/>
      <x:c r="K346" s="10"/>
      <x:c r="L346" s="7"/>
      <x:c r="M346" s="8"/>
      <x:c r="N346" s="17"/>
      <x:c r="O346" s="17"/>
    </x:row>
    <x:row r="347" ht="15" hidden="0" customHeight="1">
      <x:c r="A347" s="7"/>
      <x:c r="B347" s="7"/>
      <x:c r="C347" s="7"/>
      <x:c r="D347" s="8"/>
      <x:c r="E347" s="7"/>
      <x:c r="F347" s="7"/>
      <x:c r="G347" s="7"/>
      <x:c r="H347" s="7"/>
      <x:c r="I347" s="7"/>
      <x:c r="J347" s="9"/>
      <x:c r="K347" s="10"/>
      <x:c r="L347" s="7"/>
      <x:c r="M347" s="8"/>
      <x:c r="N347" s="17"/>
      <x:c r="O347" s="17"/>
    </x:row>
    <x:row r="348" ht="15" hidden="0" customHeight="1">
      <x:c r="A348" s="7"/>
      <x:c r="B348" s="7"/>
      <x:c r="C348" s="7"/>
      <x:c r="D348" s="8"/>
      <x:c r="E348" s="7"/>
      <x:c r="F348" s="7"/>
      <x:c r="G348" s="7"/>
      <x:c r="H348" s="7"/>
      <x:c r="I348" s="7"/>
      <x:c r="J348" s="9"/>
      <x:c r="K348" s="10"/>
      <x:c r="L348" s="7"/>
      <x:c r="M348" s="8"/>
      <x:c r="N348" s="17"/>
      <x:c r="O348" s="17"/>
    </x:row>
    <x:row r="349" ht="15" hidden="0" customHeight="1">
      <x:c r="A349" s="7"/>
      <x:c r="B349" s="7"/>
      <x:c r="C349" s="7"/>
      <x:c r="D349" s="8"/>
      <x:c r="E349" s="7"/>
      <x:c r="F349" s="7"/>
      <x:c r="G349" s="7"/>
      <x:c r="H349" s="7"/>
      <x:c r="I349" s="7"/>
      <x:c r="J349" s="9"/>
      <x:c r="K349" s="10"/>
      <x:c r="L349" s="7"/>
      <x:c r="M349" s="8"/>
      <x:c r="N349" s="17"/>
      <x:c r="O349" s="17"/>
    </x:row>
    <x:row r="350" ht="15" hidden="0" customHeight="1">
      <x:c r="A350" s="7"/>
      <x:c r="B350" s="7"/>
      <x:c r="C350" s="7"/>
      <x:c r="D350" s="8"/>
      <x:c r="E350" s="7"/>
      <x:c r="F350" s="7"/>
      <x:c r="G350" s="7"/>
      <x:c r="H350" s="7"/>
      <x:c r="I350" s="7"/>
      <x:c r="J350" s="9"/>
      <x:c r="K350" s="10"/>
      <x:c r="L350" s="7"/>
      <x:c r="M350" s="8"/>
      <x:c r="N350" s="17"/>
      <x:c r="O350" s="17"/>
    </x:row>
    <x:row r="351" ht="15" hidden="0" customHeight="1">
      <x:c r="A351" s="7"/>
      <x:c r="B351" s="7"/>
      <x:c r="C351" s="7"/>
      <x:c r="D351" s="8"/>
      <x:c r="E351" s="7"/>
      <x:c r="F351" s="7"/>
      <x:c r="G351" s="7"/>
      <x:c r="H351" s="7"/>
      <x:c r="I351" s="7"/>
      <x:c r="J351" s="9"/>
      <x:c r="K351" s="10"/>
      <x:c r="L351" s="7"/>
      <x:c r="M351" s="8"/>
      <x:c r="N351" s="17"/>
      <x:c r="O351" s="17"/>
    </x:row>
    <x:row r="352" ht="15" hidden="0" customHeight="1">
      <x:c r="A352" s="7"/>
      <x:c r="B352" s="7"/>
      <x:c r="C352" s="7"/>
      <x:c r="D352" s="8"/>
      <x:c r="E352" s="7"/>
      <x:c r="F352" s="7"/>
      <x:c r="G352" s="7"/>
      <x:c r="H352" s="7"/>
      <x:c r="I352" s="7"/>
      <x:c r="J352" s="9"/>
      <x:c r="K352" s="10"/>
      <x:c r="L352" s="7"/>
      <x:c r="M352" s="8"/>
      <x:c r="N352" s="17"/>
      <x:c r="O352" s="17"/>
    </x:row>
    <x:row r="353" ht="15" hidden="0" customHeight="1">
      <x:c r="A353" s="7"/>
      <x:c r="B353" s="7"/>
      <x:c r="C353" s="7"/>
      <x:c r="D353" s="8"/>
      <x:c r="E353" s="7"/>
      <x:c r="F353" s="7"/>
      <x:c r="G353" s="7"/>
      <x:c r="H353" s="7"/>
      <x:c r="I353" s="7"/>
      <x:c r="J353" s="9"/>
      <x:c r="K353" s="10"/>
      <x:c r="L353" s="7"/>
      <x:c r="M353" s="8"/>
      <x:c r="N353" s="17"/>
      <x:c r="O353" s="17"/>
    </x:row>
    <x:row r="354" ht="15" hidden="0" customHeight="1">
      <x:c r="A354" s="7"/>
      <x:c r="B354" s="7"/>
      <x:c r="C354" s="7"/>
      <x:c r="D354" s="8"/>
      <x:c r="E354" s="7"/>
      <x:c r="F354" s="7"/>
      <x:c r="G354" s="7"/>
      <x:c r="H354" s="7"/>
      <x:c r="I354" s="7"/>
      <x:c r="J354" s="9"/>
      <x:c r="K354" s="10"/>
      <x:c r="L354" s="7"/>
      <x:c r="M354" s="8"/>
      <x:c r="N354" s="17"/>
      <x:c r="O354" s="17"/>
    </x:row>
    <x:row r="355" ht="15" hidden="0" customHeight="1">
      <x:c r="A355" s="7"/>
      <x:c r="B355" s="7"/>
      <x:c r="C355" s="7"/>
      <x:c r="D355" s="8"/>
      <x:c r="E355" s="7"/>
      <x:c r="F355" s="7"/>
      <x:c r="G355" s="7"/>
      <x:c r="H355" s="7"/>
      <x:c r="I355" s="7"/>
      <x:c r="J355" s="9"/>
      <x:c r="K355" s="10"/>
      <x:c r="L355" s="7"/>
      <x:c r="M355" s="8"/>
      <x:c r="N355" s="17"/>
      <x:c r="O355" s="17"/>
    </x:row>
    <x:row r="356" ht="15" hidden="0" customHeight="1">
      <x:c r="A356" s="7"/>
      <x:c r="B356" s="7"/>
      <x:c r="C356" s="7"/>
      <x:c r="D356" s="8"/>
      <x:c r="E356" s="7"/>
      <x:c r="F356" s="7"/>
      <x:c r="G356" s="7"/>
      <x:c r="H356" s="7"/>
      <x:c r="I356" s="7"/>
      <x:c r="J356" s="9"/>
      <x:c r="K356" s="10"/>
      <x:c r="L356" s="7"/>
      <x:c r="M356" s="8"/>
      <x:c r="N356" s="17"/>
      <x:c r="O356" s="17"/>
    </x:row>
    <x:row r="357" ht="15" hidden="0" customHeight="1">
      <x:c r="A357" s="7"/>
      <x:c r="B357" s="7"/>
      <x:c r="C357" s="7"/>
      <x:c r="D357" s="8"/>
      <x:c r="E357" s="7"/>
      <x:c r="F357" s="7"/>
      <x:c r="G357" s="7"/>
      <x:c r="H357" s="7"/>
      <x:c r="I357" s="7"/>
      <x:c r="J357" s="9"/>
      <x:c r="K357" s="10"/>
      <x:c r="L357" s="7"/>
      <x:c r="M357" s="8"/>
      <x:c r="N357" s="17"/>
      <x:c r="O357" s="17"/>
    </x:row>
    <x:row r="358" ht="15" hidden="0" customHeight="1">
      <x:c r="A358" s="7"/>
      <x:c r="B358" s="7"/>
      <x:c r="C358" s="7"/>
      <x:c r="D358" s="8"/>
      <x:c r="E358" s="7"/>
      <x:c r="F358" s="7"/>
      <x:c r="G358" s="7"/>
      <x:c r="H358" s="7"/>
      <x:c r="I358" s="7"/>
      <x:c r="J358" s="9"/>
      <x:c r="K358" s="10"/>
      <x:c r="L358" s="7"/>
      <x:c r="M358" s="8"/>
      <x:c r="N358" s="17"/>
      <x:c r="O358" s="17"/>
    </x:row>
    <x:row r="359" ht="15" hidden="0" customHeight="1">
      <x:c r="A359" s="7"/>
      <x:c r="B359" s="7"/>
      <x:c r="C359" s="7"/>
      <x:c r="D359" s="8"/>
      <x:c r="E359" s="7"/>
      <x:c r="F359" s="7"/>
      <x:c r="G359" s="7"/>
      <x:c r="H359" s="7"/>
      <x:c r="I359" s="7"/>
      <x:c r="J359" s="9"/>
      <x:c r="K359" s="10"/>
      <x:c r="L359" s="7"/>
      <x:c r="M359" s="8"/>
      <x:c r="N359" s="17"/>
      <x:c r="O359" s="17"/>
    </x:row>
    <x:row r="360" ht="15" hidden="0" customHeight="1">
      <x:c r="A360" s="7"/>
      <x:c r="B360" s="7"/>
      <x:c r="C360" s="7"/>
      <x:c r="D360" s="8"/>
      <x:c r="E360" s="7"/>
      <x:c r="F360" s="7"/>
      <x:c r="G360" s="7"/>
      <x:c r="H360" s="7"/>
      <x:c r="I360" s="7"/>
      <x:c r="J360" s="9"/>
      <x:c r="K360" s="10"/>
      <x:c r="L360" s="7"/>
      <x:c r="M360" s="8"/>
      <x:c r="N360" s="17"/>
      <x:c r="O360" s="17"/>
    </x:row>
    <x:row r="361" ht="15" hidden="0" customHeight="1">
      <x:c r="A361" s="7"/>
      <x:c r="B361" s="7"/>
      <x:c r="C361" s="7"/>
      <x:c r="D361" s="8"/>
      <x:c r="E361" s="7"/>
      <x:c r="F361" s="7"/>
      <x:c r="G361" s="7"/>
      <x:c r="H361" s="7"/>
      <x:c r="I361" s="7"/>
      <x:c r="J361" s="9"/>
      <x:c r="K361" s="10"/>
      <x:c r="L361" s="7"/>
      <x:c r="M361" s="8"/>
      <x:c r="N361" s="17"/>
      <x:c r="O361" s="17"/>
    </x:row>
    <x:row r="362" ht="15" hidden="0" customHeight="1">
      <x:c r="A362" s="7"/>
      <x:c r="B362" s="7"/>
      <x:c r="C362" s="7"/>
      <x:c r="D362" s="8"/>
      <x:c r="E362" s="7"/>
      <x:c r="F362" s="7"/>
      <x:c r="G362" s="7"/>
      <x:c r="H362" s="7"/>
      <x:c r="I362" s="7"/>
      <x:c r="J362" s="9"/>
      <x:c r="K362" s="10"/>
      <x:c r="L362" s="7"/>
      <x:c r="M362" s="8"/>
      <x:c r="N362" s="17"/>
      <x:c r="O362" s="17"/>
    </x:row>
    <x:row r="363" ht="15" hidden="0" customHeight="1">
      <x:c r="A363" s="7"/>
      <x:c r="B363" s="7"/>
      <x:c r="C363" s="7"/>
      <x:c r="D363" s="8"/>
      <x:c r="E363" s="7"/>
      <x:c r="F363" s="7"/>
      <x:c r="G363" s="7"/>
      <x:c r="H363" s="7"/>
      <x:c r="I363" s="7"/>
      <x:c r="J363" s="9"/>
      <x:c r="K363" s="10"/>
      <x:c r="L363" s="7"/>
      <x:c r="M363" s="8"/>
      <x:c r="N363" s="17"/>
      <x:c r="O363" s="17"/>
    </x:row>
    <x:row r="364" ht="15" hidden="0" customHeight="1">
      <x:c r="A364" s="7"/>
      <x:c r="B364" s="7"/>
      <x:c r="C364" s="7"/>
      <x:c r="D364" s="8"/>
      <x:c r="E364" s="7"/>
      <x:c r="F364" s="7"/>
      <x:c r="G364" s="7"/>
      <x:c r="H364" s="7"/>
      <x:c r="I364" s="7"/>
      <x:c r="J364" s="9"/>
      <x:c r="K364" s="10"/>
      <x:c r="L364" s="7"/>
      <x:c r="M364" s="8"/>
      <x:c r="N364" s="17"/>
      <x:c r="O364" s="17"/>
    </x:row>
    <x:row r="365" ht="15" hidden="0" customHeight="1">
      <x:c r="A365" s="7"/>
      <x:c r="B365" s="7"/>
      <x:c r="C365" s="7"/>
      <x:c r="D365" s="8"/>
      <x:c r="E365" s="7"/>
      <x:c r="F365" s="7"/>
      <x:c r="G365" s="7"/>
      <x:c r="H365" s="7"/>
      <x:c r="I365" s="7"/>
      <x:c r="J365" s="9"/>
      <x:c r="K365" s="10"/>
      <x:c r="L365" s="7"/>
      <x:c r="M365" s="8"/>
      <x:c r="N365" s="17"/>
      <x:c r="O365" s="17"/>
    </x:row>
    <x:row r="366" ht="15" hidden="0" customHeight="1">
      <x:c r="A366" s="7"/>
      <x:c r="B366" s="7"/>
      <x:c r="C366" s="7"/>
      <x:c r="D366" s="8"/>
      <x:c r="E366" s="7"/>
      <x:c r="F366" s="7"/>
      <x:c r="G366" s="7"/>
      <x:c r="H366" s="7"/>
      <x:c r="I366" s="7"/>
      <x:c r="J366" s="9"/>
      <x:c r="K366" s="10"/>
      <x:c r="L366" s="7"/>
      <x:c r="M366" s="8"/>
      <x:c r="N366" s="17"/>
      <x:c r="O366" s="17"/>
    </x:row>
    <x:row r="367" ht="15" hidden="0" customHeight="1">
      <x:c r="A367" s="7"/>
      <x:c r="B367" s="7"/>
      <x:c r="C367" s="7"/>
      <x:c r="D367" s="8"/>
      <x:c r="E367" s="7"/>
      <x:c r="F367" s="7"/>
      <x:c r="G367" s="7"/>
      <x:c r="H367" s="7"/>
      <x:c r="I367" s="7"/>
      <x:c r="J367" s="9"/>
      <x:c r="K367" s="10"/>
      <x:c r="L367" s="7"/>
      <x:c r="M367" s="8"/>
      <x:c r="N367" s="17"/>
      <x:c r="O367" s="17"/>
    </x:row>
    <x:row r="368" ht="15" hidden="0" customHeight="1">
      <x:c r="A368" s="7"/>
      <x:c r="B368" s="7"/>
      <x:c r="C368" s="7"/>
      <x:c r="D368" s="8"/>
      <x:c r="E368" s="7"/>
      <x:c r="F368" s="7"/>
      <x:c r="G368" s="7"/>
      <x:c r="H368" s="7"/>
      <x:c r="I368" s="7"/>
      <x:c r="J368" s="9"/>
      <x:c r="K368" s="10"/>
      <x:c r="L368" s="7"/>
      <x:c r="M368" s="8"/>
      <x:c r="N368" s="17"/>
      <x:c r="O368" s="17"/>
    </x:row>
    <x:row r="369" ht="15" hidden="0" customHeight="1">
      <x:c r="A369" s="7"/>
      <x:c r="B369" s="7"/>
      <x:c r="C369" s="7"/>
      <x:c r="D369" s="8"/>
      <x:c r="E369" s="7"/>
      <x:c r="F369" s="7"/>
      <x:c r="G369" s="7"/>
      <x:c r="H369" s="7"/>
      <x:c r="I369" s="7"/>
      <x:c r="J369" s="9"/>
      <x:c r="K369" s="10"/>
      <x:c r="L369" s="7"/>
      <x:c r="M369" s="8"/>
      <x:c r="N369" s="17"/>
      <x:c r="O369" s="17"/>
    </x:row>
    <x:row r="370" ht="15" hidden="0" customHeight="1">
      <x:c r="A370" s="7"/>
      <x:c r="B370" s="7"/>
      <x:c r="C370" s="7"/>
      <x:c r="D370" s="8"/>
      <x:c r="E370" s="7"/>
      <x:c r="F370" s="7"/>
      <x:c r="G370" s="7"/>
      <x:c r="H370" s="7"/>
      <x:c r="I370" s="7"/>
      <x:c r="J370" s="9"/>
      <x:c r="K370" s="10"/>
      <x:c r="L370" s="7"/>
      <x:c r="M370" s="8"/>
      <x:c r="N370" s="17"/>
      <x:c r="O370" s="17"/>
    </x:row>
    <x:row r="371" ht="15" hidden="0" customHeight="1">
      <x:c r="A371" s="7"/>
      <x:c r="B371" s="7"/>
      <x:c r="C371" s="7"/>
      <x:c r="D371" s="8"/>
      <x:c r="E371" s="7"/>
      <x:c r="F371" s="7"/>
      <x:c r="G371" s="7"/>
      <x:c r="H371" s="7"/>
      <x:c r="I371" s="7"/>
      <x:c r="J371" s="9"/>
      <x:c r="K371" s="10"/>
      <x:c r="L371" s="7"/>
      <x:c r="M371" s="8"/>
      <x:c r="N371" s="17"/>
      <x:c r="O371" s="17"/>
    </x:row>
    <x:row r="372" ht="15" hidden="0" customHeight="1">
      <x:c r="A372" s="7"/>
      <x:c r="B372" s="7"/>
      <x:c r="C372" s="7"/>
      <x:c r="D372" s="8"/>
      <x:c r="E372" s="7"/>
      <x:c r="F372" s="7"/>
      <x:c r="G372" s="7"/>
      <x:c r="H372" s="7"/>
      <x:c r="I372" s="7"/>
      <x:c r="J372" s="9"/>
      <x:c r="K372" s="10"/>
      <x:c r="L372" s="7"/>
      <x:c r="M372" s="8"/>
      <x:c r="N372" s="17"/>
      <x:c r="O372" s="17"/>
    </x:row>
    <x:row r="373" ht="15" hidden="0" customHeight="1">
      <x:c r="A373" s="7"/>
      <x:c r="B373" s="7"/>
      <x:c r="C373" s="7"/>
      <x:c r="D373" s="8"/>
      <x:c r="E373" s="7"/>
      <x:c r="F373" s="7"/>
      <x:c r="G373" s="7"/>
      <x:c r="H373" s="7"/>
      <x:c r="I373" s="7"/>
      <x:c r="J373" s="9"/>
      <x:c r="K373" s="10"/>
      <x:c r="L373" s="7"/>
      <x:c r="M373" s="8"/>
      <x:c r="N373" s="17"/>
      <x:c r="O373" s="17"/>
    </x:row>
    <x:row r="374" ht="15" hidden="0" customHeight="1">
      <x:c r="A374" s="7"/>
      <x:c r="B374" s="7"/>
      <x:c r="C374" s="7"/>
      <x:c r="D374" s="8"/>
      <x:c r="E374" s="7"/>
      <x:c r="F374" s="7"/>
      <x:c r="G374" s="7"/>
      <x:c r="H374" s="7"/>
      <x:c r="I374" s="7"/>
      <x:c r="J374" s="9"/>
      <x:c r="K374" s="10"/>
      <x:c r="L374" s="7"/>
      <x:c r="M374" s="8"/>
      <x:c r="N374" s="17"/>
      <x:c r="O374" s="17"/>
    </x:row>
    <x:row r="375" ht="15" hidden="0" customHeight="1">
      <x:c r="A375" s="7"/>
      <x:c r="B375" s="7"/>
      <x:c r="C375" s="7"/>
      <x:c r="D375" s="8"/>
      <x:c r="E375" s="7"/>
      <x:c r="F375" s="7"/>
      <x:c r="G375" s="7"/>
      <x:c r="H375" s="7"/>
      <x:c r="I375" s="7"/>
      <x:c r="J375" s="9"/>
      <x:c r="K375" s="10"/>
      <x:c r="L375" s="7"/>
      <x:c r="M375" s="8"/>
      <x:c r="N375" s="17"/>
      <x:c r="O375" s="17"/>
    </x:row>
    <x:row r="376" ht="15" hidden="0" customHeight="1">
      <x:c r="A376" s="7"/>
      <x:c r="B376" s="7"/>
      <x:c r="C376" s="7"/>
      <x:c r="D376" s="8"/>
      <x:c r="E376" s="7"/>
      <x:c r="F376" s="7"/>
      <x:c r="G376" s="7"/>
      <x:c r="H376" s="7"/>
      <x:c r="I376" s="7"/>
      <x:c r="J376" s="9"/>
      <x:c r="K376" s="10"/>
      <x:c r="L376" s="7"/>
      <x:c r="M376" s="8"/>
      <x:c r="N376" s="17"/>
      <x:c r="O376" s="17"/>
    </x:row>
    <x:row r="377" ht="15" hidden="0" customHeight="1">
      <x:c r="A377" s="7"/>
      <x:c r="B377" s="7"/>
      <x:c r="C377" s="7"/>
      <x:c r="D377" s="8"/>
      <x:c r="E377" s="7"/>
      <x:c r="F377" s="7"/>
      <x:c r="G377" s="7"/>
      <x:c r="H377" s="7"/>
      <x:c r="I377" s="7"/>
      <x:c r="J377" s="9"/>
      <x:c r="K377" s="10"/>
      <x:c r="L377" s="7"/>
      <x:c r="M377" s="8"/>
      <x:c r="N377" s="17"/>
      <x:c r="O377" s="17"/>
    </x:row>
    <x:row r="378" ht="15" hidden="0" customHeight="1">
      <x:c r="A378" s="7"/>
      <x:c r="B378" s="7"/>
      <x:c r="C378" s="7"/>
      <x:c r="D378" s="8"/>
      <x:c r="E378" s="7"/>
      <x:c r="F378" s="7"/>
      <x:c r="G378" s="7"/>
      <x:c r="H378" s="7"/>
      <x:c r="I378" s="7"/>
      <x:c r="J378" s="9"/>
      <x:c r="K378" s="10"/>
      <x:c r="L378" s="7"/>
      <x:c r="M378" s="8"/>
      <x:c r="N378" s="17"/>
      <x:c r="O378" s="17"/>
    </x:row>
    <x:row r="379" ht="15" hidden="0" customHeight="1">
      <x:c r="A379" s="7"/>
      <x:c r="B379" s="7"/>
      <x:c r="C379" s="7"/>
      <x:c r="D379" s="8"/>
      <x:c r="E379" s="7"/>
      <x:c r="F379" s="7"/>
      <x:c r="G379" s="7"/>
      <x:c r="H379" s="7"/>
      <x:c r="I379" s="7"/>
      <x:c r="J379" s="9"/>
      <x:c r="K379" s="10"/>
      <x:c r="L379" s="7"/>
      <x:c r="M379" s="8"/>
      <x:c r="N379" s="17"/>
      <x:c r="O379" s="17"/>
    </x:row>
    <x:row r="380" ht="15" hidden="0" customHeight="1">
      <x:c r="A380" s="7"/>
      <x:c r="B380" s="7"/>
      <x:c r="C380" s="7"/>
      <x:c r="D380" s="8"/>
      <x:c r="E380" s="7"/>
      <x:c r="F380" s="7"/>
      <x:c r="G380" s="7"/>
      <x:c r="H380" s="7"/>
      <x:c r="I380" s="7"/>
      <x:c r="J380" s="9"/>
      <x:c r="K380" s="10"/>
      <x:c r="L380" s="7"/>
      <x:c r="M380" s="8"/>
      <x:c r="N380" s="17"/>
      <x:c r="O380" s="17"/>
    </x:row>
    <x:row r="381" ht="15" hidden="0" customHeight="1">
      <x:c r="A381" s="7"/>
      <x:c r="B381" s="7"/>
      <x:c r="C381" s="7"/>
      <x:c r="D381" s="8"/>
      <x:c r="E381" s="7"/>
      <x:c r="F381" s="7"/>
      <x:c r="G381" s="7"/>
      <x:c r="H381" s="7"/>
      <x:c r="I381" s="7"/>
      <x:c r="J381" s="9"/>
      <x:c r="K381" s="10"/>
      <x:c r="L381" s="7"/>
      <x:c r="M381" s="8"/>
      <x:c r="N381" s="17"/>
      <x:c r="O381" s="17"/>
    </x:row>
    <x:row r="382" ht="15" hidden="0" customHeight="1">
      <x:c r="A382" s="7"/>
      <x:c r="B382" s="7"/>
      <x:c r="C382" s="7"/>
      <x:c r="D382" s="8"/>
      <x:c r="E382" s="7"/>
      <x:c r="F382" s="7"/>
      <x:c r="G382" s="7"/>
      <x:c r="H382" s="7"/>
      <x:c r="I382" s="7"/>
      <x:c r="J382" s="9"/>
      <x:c r="K382" s="10"/>
      <x:c r="L382" s="7"/>
      <x:c r="M382" s="8"/>
      <x:c r="N382" s="17"/>
      <x:c r="O382" s="17"/>
    </x:row>
    <x:row r="383" ht="15" hidden="0" customHeight="1">
      <x:c r="A383" s="7"/>
      <x:c r="B383" s="7"/>
      <x:c r="C383" s="7"/>
      <x:c r="D383" s="8"/>
      <x:c r="E383" s="7"/>
      <x:c r="F383" s="7"/>
      <x:c r="G383" s="7"/>
      <x:c r="H383" s="7"/>
      <x:c r="I383" s="7"/>
      <x:c r="J383" s="9"/>
      <x:c r="K383" s="10"/>
      <x:c r="L383" s="7"/>
      <x:c r="M383" s="8"/>
      <x:c r="N383" s="17"/>
      <x:c r="O383" s="17"/>
    </x:row>
    <x:row r="384" ht="15" hidden="0" customHeight="1">
      <x:c r="A384" s="7"/>
      <x:c r="B384" s="7"/>
      <x:c r="C384" s="7"/>
      <x:c r="D384" s="8"/>
      <x:c r="E384" s="7"/>
      <x:c r="F384" s="7"/>
      <x:c r="G384" s="7"/>
      <x:c r="H384" s="7"/>
      <x:c r="I384" s="7"/>
      <x:c r="J384" s="9"/>
      <x:c r="K384" s="10"/>
      <x:c r="L384" s="7"/>
      <x:c r="M384" s="8"/>
      <x:c r="N384" s="17"/>
      <x:c r="O384" s="17"/>
    </x:row>
    <x:row r="385" ht="15" hidden="0" customHeight="1">
      <x:c r="A385" s="7"/>
      <x:c r="B385" s="7"/>
      <x:c r="C385" s="7"/>
      <x:c r="D385" s="8"/>
      <x:c r="E385" s="7"/>
      <x:c r="F385" s="7"/>
      <x:c r="G385" s="7"/>
      <x:c r="H385" s="7"/>
      <x:c r="I385" s="7"/>
      <x:c r="J385" s="9"/>
      <x:c r="K385" s="10"/>
      <x:c r="L385" s="7"/>
      <x:c r="M385" s="8"/>
      <x:c r="N385" s="17"/>
      <x:c r="O385" s="17"/>
    </x:row>
    <x:row r="386" ht="15" hidden="0" customHeight="1">
      <x:c r="A386" s="7"/>
      <x:c r="B386" s="7"/>
      <x:c r="C386" s="7"/>
      <x:c r="D386" s="8"/>
      <x:c r="E386" s="7"/>
      <x:c r="F386" s="7"/>
      <x:c r="G386" s="7"/>
      <x:c r="H386" s="7"/>
      <x:c r="I386" s="7"/>
      <x:c r="J386" s="9"/>
      <x:c r="K386" s="10"/>
      <x:c r="L386" s="7"/>
      <x:c r="M386" s="8"/>
      <x:c r="N386" s="17"/>
      <x:c r="O386" s="17"/>
    </x:row>
    <x:row r="387" ht="15" hidden="0" customHeight="1">
      <x:c r="A387" s="7"/>
      <x:c r="B387" s="7"/>
      <x:c r="C387" s="7"/>
      <x:c r="D387" s="8"/>
      <x:c r="E387" s="7"/>
      <x:c r="F387" s="7"/>
      <x:c r="G387" s="7"/>
      <x:c r="H387" s="7"/>
      <x:c r="I387" s="7"/>
      <x:c r="J387" s="9"/>
      <x:c r="K387" s="10"/>
      <x:c r="L387" s="7"/>
      <x:c r="M387" s="8"/>
      <x:c r="N387" s="17"/>
      <x:c r="O387" s="17"/>
    </x:row>
    <x:row r="388" ht="15" hidden="0" customHeight="1">
      <x:c r="A388" s="7"/>
      <x:c r="B388" s="7"/>
      <x:c r="C388" s="7"/>
      <x:c r="D388" s="8"/>
      <x:c r="E388" s="7"/>
      <x:c r="F388" s="7"/>
      <x:c r="G388" s="7"/>
      <x:c r="H388" s="7"/>
      <x:c r="I388" s="7"/>
      <x:c r="J388" s="9"/>
      <x:c r="K388" s="10"/>
      <x:c r="L388" s="7"/>
      <x:c r="M388" s="8"/>
      <x:c r="N388" s="17"/>
      <x:c r="O388" s="17"/>
    </x:row>
    <x:row r="389" ht="15" hidden="0" customHeight="1">
      <x:c r="A389" s="7"/>
      <x:c r="B389" s="7"/>
      <x:c r="C389" s="7"/>
      <x:c r="D389" s="8"/>
      <x:c r="E389" s="7"/>
      <x:c r="F389" s="7"/>
      <x:c r="G389" s="7"/>
      <x:c r="H389" s="7"/>
      <x:c r="I389" s="7"/>
      <x:c r="J389" s="9"/>
      <x:c r="K389" s="10"/>
      <x:c r="L389" s="7"/>
      <x:c r="M389" s="8"/>
      <x:c r="N389" s="17"/>
      <x:c r="O389" s="17"/>
    </x:row>
    <x:row r="390" ht="15" hidden="0" customHeight="1">
      <x:c r="A390" s="7"/>
      <x:c r="B390" s="7"/>
      <x:c r="C390" s="7"/>
      <x:c r="D390" s="8"/>
      <x:c r="E390" s="7"/>
      <x:c r="F390" s="7"/>
      <x:c r="G390" s="7"/>
      <x:c r="H390" s="7"/>
      <x:c r="I390" s="7"/>
      <x:c r="J390" s="9"/>
      <x:c r="K390" s="10"/>
      <x:c r="L390" s="7"/>
      <x:c r="M390" s="8"/>
      <x:c r="N390" s="17"/>
      <x:c r="O390" s="17"/>
    </x:row>
    <x:row r="391" ht="15" hidden="0" customHeight="1">
      <x:c r="A391" s="7"/>
      <x:c r="B391" s="7"/>
      <x:c r="C391" s="7"/>
      <x:c r="D391" s="8"/>
      <x:c r="E391" s="7"/>
      <x:c r="F391" s="7"/>
      <x:c r="G391" s="7"/>
      <x:c r="H391" s="7"/>
      <x:c r="I391" s="7"/>
      <x:c r="J391" s="9"/>
      <x:c r="K391" s="10"/>
      <x:c r="L391" s="7"/>
      <x:c r="M391" s="8"/>
      <x:c r="N391" s="17"/>
      <x:c r="O391" s="17"/>
    </x:row>
    <x:row r="392" ht="15" hidden="0" customHeight="1">
      <x:c r="A392" s="7"/>
      <x:c r="B392" s="7"/>
      <x:c r="C392" s="7"/>
      <x:c r="D392" s="8"/>
      <x:c r="E392" s="7"/>
      <x:c r="F392" s="7"/>
      <x:c r="G392" s="7"/>
      <x:c r="H392" s="7"/>
      <x:c r="I392" s="7"/>
      <x:c r="J392" s="9"/>
      <x:c r="K392" s="10"/>
      <x:c r="L392" s="7"/>
      <x:c r="M392" s="8"/>
      <x:c r="N392" s="17"/>
      <x:c r="O392" s="17"/>
    </x:row>
    <x:row r="393" ht="15" hidden="0" customHeight="1">
      <x:c r="A393" s="7"/>
      <x:c r="B393" s="7"/>
      <x:c r="C393" s="7"/>
      <x:c r="D393" s="8"/>
      <x:c r="E393" s="7"/>
      <x:c r="F393" s="7"/>
      <x:c r="G393" s="7"/>
      <x:c r="H393" s="7"/>
      <x:c r="I393" s="7"/>
      <x:c r="J393" s="9"/>
      <x:c r="K393" s="10"/>
      <x:c r="L393" s="7"/>
      <x:c r="M393" s="8"/>
      <x:c r="N393" s="17"/>
      <x:c r="O393" s="17"/>
    </x:row>
    <x:row r="394" ht="15" hidden="0" customHeight="1">
      <x:c r="A394" s="7"/>
      <x:c r="B394" s="7"/>
      <x:c r="C394" s="7"/>
      <x:c r="D394" s="8"/>
      <x:c r="E394" s="7"/>
      <x:c r="F394" s="7"/>
      <x:c r="G394" s="7"/>
      <x:c r="H394" s="7"/>
      <x:c r="I394" s="7"/>
      <x:c r="J394" s="9"/>
      <x:c r="K394" s="10"/>
      <x:c r="L394" s="7"/>
      <x:c r="M394" s="8"/>
      <x:c r="N394" s="17"/>
      <x:c r="O394" s="17"/>
    </x:row>
    <x:row r="395" ht="15" hidden="0" customHeight="1">
      <x:c r="A395" s="7"/>
      <x:c r="B395" s="7"/>
      <x:c r="C395" s="7"/>
      <x:c r="D395" s="8"/>
      <x:c r="E395" s="7"/>
      <x:c r="F395" s="7"/>
      <x:c r="G395" s="7"/>
      <x:c r="H395" s="7"/>
      <x:c r="I395" s="7"/>
      <x:c r="J395" s="9"/>
      <x:c r="K395" s="10"/>
      <x:c r="L395" s="7"/>
      <x:c r="M395" s="8"/>
      <x:c r="N395" s="17"/>
      <x:c r="O395" s="17"/>
    </x:row>
    <x:row r="396" ht="15" hidden="0" customHeight="1">
      <x:c r="A396" s="7"/>
      <x:c r="B396" s="7"/>
      <x:c r="C396" s="7"/>
      <x:c r="D396" s="8"/>
      <x:c r="E396" s="7"/>
      <x:c r="F396" s="7"/>
      <x:c r="G396" s="7"/>
      <x:c r="H396" s="7"/>
      <x:c r="I396" s="7"/>
      <x:c r="J396" s="9"/>
      <x:c r="K396" s="10"/>
      <x:c r="L396" s="7"/>
      <x:c r="M396" s="8"/>
      <x:c r="N396" s="17"/>
      <x:c r="O396" s="17"/>
    </x:row>
    <x:row r="397" ht="15" hidden="0" customHeight="1">
      <x:c r="A397" s="7"/>
      <x:c r="B397" s="7"/>
      <x:c r="C397" s="7"/>
      <x:c r="D397" s="8"/>
      <x:c r="E397" s="7"/>
      <x:c r="F397" s="7"/>
      <x:c r="G397" s="7"/>
      <x:c r="H397" s="7"/>
      <x:c r="I397" s="7"/>
      <x:c r="J397" s="9"/>
      <x:c r="K397" s="10"/>
      <x:c r="L397" s="7"/>
      <x:c r="M397" s="8"/>
      <x:c r="N397" s="17"/>
      <x:c r="O397" s="17"/>
    </x:row>
    <x:row r="398" ht="15" hidden="0" customHeight="1">
      <x:c r="A398" s="7"/>
      <x:c r="B398" s="7"/>
      <x:c r="C398" s="7"/>
      <x:c r="D398" s="8"/>
      <x:c r="E398" s="7"/>
      <x:c r="F398" s="7"/>
      <x:c r="G398" s="7"/>
      <x:c r="H398" s="7"/>
      <x:c r="I398" s="7"/>
      <x:c r="J398" s="9"/>
      <x:c r="K398" s="10"/>
      <x:c r="L398" s="7"/>
      <x:c r="M398" s="8"/>
      <x:c r="N398" s="17"/>
      <x:c r="O398" s="17"/>
    </x:row>
    <x:row r="399" ht="15" hidden="0" customHeight="1">
      <x:c r="A399" s="7"/>
      <x:c r="B399" s="7"/>
      <x:c r="C399" s="7"/>
      <x:c r="D399" s="8"/>
      <x:c r="E399" s="7"/>
      <x:c r="F399" s="7"/>
      <x:c r="G399" s="7"/>
      <x:c r="H399" s="7"/>
      <x:c r="I399" s="7"/>
      <x:c r="J399" s="9"/>
      <x:c r="K399" s="10"/>
      <x:c r="L399" s="7"/>
      <x:c r="M399" s="8"/>
      <x:c r="N399" s="17"/>
      <x:c r="O399" s="17"/>
    </x:row>
    <x:row r="400" ht="15" hidden="0" customHeight="1">
      <x:c r="A400" s="7"/>
      <x:c r="B400" s="7"/>
      <x:c r="C400" s="7"/>
      <x:c r="D400" s="8"/>
      <x:c r="E400" s="7"/>
      <x:c r="F400" s="7"/>
      <x:c r="G400" s="7"/>
      <x:c r="H400" s="7"/>
      <x:c r="I400" s="7"/>
      <x:c r="J400" s="9"/>
      <x:c r="K400" s="10"/>
      <x:c r="L400" s="7"/>
      <x:c r="M400" s="8"/>
      <x:c r="N400" s="17"/>
      <x:c r="O400" s="17"/>
    </x:row>
    <x:row r="401" ht="15" hidden="0" customHeight="1">
      <x:c r="A401" s="7"/>
      <x:c r="B401" s="7"/>
      <x:c r="C401" s="7"/>
      <x:c r="D401" s="8"/>
      <x:c r="E401" s="7"/>
      <x:c r="F401" s="7"/>
      <x:c r="G401" s="7"/>
      <x:c r="H401" s="7"/>
      <x:c r="I401" s="7"/>
      <x:c r="J401" s="9"/>
      <x:c r="K401" s="10"/>
      <x:c r="L401" s="7"/>
      <x:c r="M401" s="8"/>
      <x:c r="N401" s="17"/>
      <x:c r="O401" s="17"/>
    </x:row>
    <x:row r="402" ht="15" hidden="0" customHeight="1">
      <x:c r="A402" s="7"/>
      <x:c r="B402" s="7"/>
      <x:c r="C402" s="7"/>
      <x:c r="D402" s="8"/>
      <x:c r="E402" s="7"/>
      <x:c r="F402" s="7"/>
      <x:c r="G402" s="7"/>
      <x:c r="H402" s="7"/>
      <x:c r="I402" s="7"/>
      <x:c r="J402" s="9"/>
      <x:c r="K402" s="10"/>
      <x:c r="L402" s="7"/>
      <x:c r="M402" s="8"/>
      <x:c r="N402" s="17"/>
      <x:c r="O402" s="17"/>
    </x:row>
    <x:row r="403" ht="15" hidden="0" customHeight="1">
      <x:c r="A403" s="7"/>
      <x:c r="B403" s="7"/>
      <x:c r="C403" s="7"/>
      <x:c r="D403" s="8"/>
      <x:c r="E403" s="7"/>
      <x:c r="F403" s="7"/>
      <x:c r="G403" s="7"/>
      <x:c r="H403" s="7"/>
      <x:c r="I403" s="7"/>
      <x:c r="J403" s="9"/>
      <x:c r="K403" s="10"/>
      <x:c r="L403" s="7"/>
      <x:c r="M403" s="8"/>
      <x:c r="N403" s="17"/>
      <x:c r="O403" s="17"/>
    </x:row>
    <x:row r="404" ht="15" hidden="0" customHeight="1">
      <x:c r="A404" s="7"/>
      <x:c r="B404" s="7"/>
      <x:c r="C404" s="7"/>
      <x:c r="D404" s="8"/>
      <x:c r="E404" s="7"/>
      <x:c r="F404" s="7"/>
      <x:c r="G404" s="7"/>
      <x:c r="H404" s="7"/>
      <x:c r="I404" s="7"/>
      <x:c r="J404" s="9"/>
      <x:c r="K404" s="10"/>
      <x:c r="L404" s="7"/>
      <x:c r="M404" s="8"/>
      <x:c r="N404" s="17"/>
      <x:c r="O404" s="17"/>
    </x:row>
    <x:row r="405" ht="15" hidden="0" customHeight="1">
      <x:c r="A405" s="7"/>
      <x:c r="B405" s="7"/>
      <x:c r="C405" s="7"/>
      <x:c r="D405" s="8"/>
      <x:c r="E405" s="7"/>
      <x:c r="F405" s="7"/>
      <x:c r="G405" s="7"/>
      <x:c r="H405" s="7"/>
      <x:c r="I405" s="7"/>
      <x:c r="J405" s="9"/>
      <x:c r="K405" s="10"/>
      <x:c r="L405" s="7"/>
      <x:c r="M405" s="8"/>
      <x:c r="N405" s="17"/>
      <x:c r="O405" s="17"/>
    </x:row>
    <x:row r="406" ht="15" hidden="0" customHeight="1">
      <x:c r="A406" s="7"/>
      <x:c r="B406" s="7"/>
      <x:c r="C406" s="7"/>
      <x:c r="D406" s="8"/>
      <x:c r="E406" s="7"/>
      <x:c r="F406" s="7"/>
      <x:c r="G406" s="7"/>
      <x:c r="H406" s="7"/>
      <x:c r="I406" s="7"/>
      <x:c r="J406" s="9"/>
      <x:c r="K406" s="10"/>
      <x:c r="L406" s="7"/>
      <x:c r="M406" s="8"/>
      <x:c r="N406" s="17"/>
      <x:c r="O406" s="17"/>
    </x:row>
    <x:row r="407" ht="15" hidden="0" customHeight="1">
      <x:c r="A407" s="7"/>
      <x:c r="B407" s="7"/>
      <x:c r="C407" s="7"/>
      <x:c r="D407" s="8"/>
      <x:c r="E407" s="7"/>
      <x:c r="F407" s="7"/>
      <x:c r="G407" s="7"/>
      <x:c r="H407" s="7"/>
      <x:c r="I407" s="7"/>
      <x:c r="J407" s="9"/>
      <x:c r="K407" s="10"/>
      <x:c r="L407" s="7"/>
      <x:c r="M407" s="8"/>
      <x:c r="N407" s="17"/>
      <x:c r="O407" s="17"/>
    </x:row>
    <x:row r="408" ht="15" hidden="0" customHeight="1">
      <x:c r="A408" s="7"/>
      <x:c r="B408" s="7"/>
      <x:c r="C408" s="7"/>
      <x:c r="D408" s="8"/>
      <x:c r="E408" s="7"/>
      <x:c r="F408" s="7"/>
      <x:c r="G408" s="7"/>
      <x:c r="H408" s="7"/>
      <x:c r="I408" s="7"/>
      <x:c r="J408" s="9"/>
      <x:c r="K408" s="10"/>
      <x:c r="L408" s="7"/>
      <x:c r="M408" s="8"/>
      <x:c r="N408" s="17"/>
      <x:c r="O408" s="17"/>
    </x:row>
    <x:row r="409" ht="15" hidden="0" customHeight="1">
      <x:c r="A409" s="7"/>
      <x:c r="B409" s="7"/>
      <x:c r="C409" s="7"/>
      <x:c r="D409" s="8"/>
      <x:c r="E409" s="7"/>
      <x:c r="F409" s="7"/>
      <x:c r="G409" s="7"/>
      <x:c r="H409" s="7"/>
      <x:c r="I409" s="7"/>
      <x:c r="J409" s="9"/>
      <x:c r="K409" s="10"/>
      <x:c r="L409" s="7"/>
      <x:c r="M409" s="8"/>
      <x:c r="N409" s="17"/>
      <x:c r="O409" s="17"/>
    </x:row>
    <x:row r="410" ht="15" hidden="0" customHeight="1">
      <x:c r="A410" s="7"/>
      <x:c r="B410" s="7"/>
      <x:c r="C410" s="7"/>
      <x:c r="D410" s="8"/>
      <x:c r="E410" s="7"/>
      <x:c r="F410" s="7"/>
      <x:c r="G410" s="7"/>
      <x:c r="H410" s="7"/>
      <x:c r="I410" s="7"/>
      <x:c r="J410" s="9"/>
      <x:c r="K410" s="10"/>
      <x:c r="L410" s="7"/>
      <x:c r="M410" s="8"/>
      <x:c r="N410" s="17"/>
      <x:c r="O410" s="17"/>
    </x:row>
    <x:row r="411" ht="15" hidden="0" customHeight="1">
      <x:c r="A411" s="7"/>
      <x:c r="B411" s="7"/>
      <x:c r="C411" s="7"/>
      <x:c r="D411" s="8"/>
      <x:c r="E411" s="7"/>
      <x:c r="F411" s="7"/>
      <x:c r="G411" s="7"/>
      <x:c r="H411" s="7"/>
      <x:c r="I411" s="7"/>
      <x:c r="J411" s="9"/>
      <x:c r="K411" s="10"/>
      <x:c r="L411" s="7"/>
      <x:c r="M411" s="8"/>
      <x:c r="N411" s="17"/>
      <x:c r="O411" s="17"/>
    </x:row>
    <x:row r="412" ht="15" hidden="0" customHeight="1">
      <x:c r="A412" s="7"/>
      <x:c r="B412" s="7"/>
      <x:c r="C412" s="7"/>
      <x:c r="D412" s="8"/>
      <x:c r="E412" s="7"/>
      <x:c r="F412" s="7"/>
      <x:c r="G412" s="7"/>
      <x:c r="H412" s="7"/>
      <x:c r="I412" s="7"/>
      <x:c r="J412" s="9"/>
      <x:c r="K412" s="10"/>
      <x:c r="L412" s="7"/>
      <x:c r="M412" s="8"/>
      <x:c r="N412" s="17"/>
      <x:c r="O412" s="17"/>
    </x:row>
    <x:row r="413" ht="15" hidden="0" customHeight="1">
      <x:c r="A413" s="7"/>
      <x:c r="B413" s="7"/>
      <x:c r="C413" s="7"/>
      <x:c r="D413" s="8"/>
      <x:c r="E413" s="7"/>
      <x:c r="F413" s="7"/>
      <x:c r="G413" s="7"/>
      <x:c r="H413" s="7"/>
      <x:c r="I413" s="7"/>
      <x:c r="J413" s="9"/>
      <x:c r="K413" s="10"/>
      <x:c r="L413" s="7"/>
      <x:c r="M413" s="8"/>
      <x:c r="N413" s="17"/>
      <x:c r="O413" s="17"/>
    </x:row>
    <x:row r="414" ht="15" hidden="0" customHeight="1">
      <x:c r="A414" s="7"/>
      <x:c r="B414" s="7"/>
      <x:c r="C414" s="7"/>
      <x:c r="D414" s="8"/>
      <x:c r="E414" s="7"/>
      <x:c r="F414" s="7"/>
      <x:c r="G414" s="7"/>
      <x:c r="H414" s="7"/>
      <x:c r="I414" s="7"/>
      <x:c r="J414" s="9"/>
      <x:c r="K414" s="10"/>
      <x:c r="L414" s="7"/>
      <x:c r="M414" s="8"/>
      <x:c r="N414" s="17"/>
      <x:c r="O414" s="17"/>
    </x:row>
    <x:row r="415" ht="15" hidden="0" customHeight="1">
      <x:c r="A415" s="7"/>
      <x:c r="B415" s="7"/>
      <x:c r="C415" s="7"/>
      <x:c r="D415" s="8"/>
      <x:c r="E415" s="7"/>
      <x:c r="F415" s="7"/>
      <x:c r="G415" s="7"/>
      <x:c r="H415" s="7"/>
      <x:c r="I415" s="7"/>
      <x:c r="J415" s="9"/>
      <x:c r="K415" s="10"/>
      <x:c r="L415" s="7"/>
      <x:c r="M415" s="8"/>
      <x:c r="N415" s="17"/>
      <x:c r="O415" s="17"/>
    </x:row>
    <x:row r="416" ht="15" hidden="0" customHeight="1">
      <x:c r="A416" s="7"/>
      <x:c r="B416" s="7"/>
      <x:c r="C416" s="7"/>
      <x:c r="D416" s="8"/>
      <x:c r="E416" s="7"/>
      <x:c r="F416" s="7"/>
      <x:c r="G416" s="7"/>
      <x:c r="H416" s="7"/>
      <x:c r="I416" s="7"/>
      <x:c r="J416" s="9"/>
      <x:c r="K416" s="10"/>
      <x:c r="L416" s="7"/>
      <x:c r="M416" s="8"/>
      <x:c r="N416" s="17"/>
      <x:c r="O416" s="17"/>
    </x:row>
    <x:row r="417" ht="15" hidden="0" customHeight="1">
      <x:c r="A417" s="7"/>
      <x:c r="B417" s="7"/>
      <x:c r="C417" s="7"/>
      <x:c r="D417" s="8"/>
      <x:c r="E417" s="7"/>
      <x:c r="F417" s="7"/>
      <x:c r="G417" s="7"/>
      <x:c r="H417" s="7"/>
      <x:c r="I417" s="7"/>
      <x:c r="J417" s="9"/>
      <x:c r="K417" s="10"/>
      <x:c r="L417" s="7"/>
      <x:c r="M417" s="8"/>
      <x:c r="N417" s="17"/>
      <x:c r="O417" s="17"/>
    </x:row>
    <x:row r="418" ht="15" hidden="0" customHeight="1">
      <x:c r="A418" s="7"/>
      <x:c r="B418" s="7"/>
      <x:c r="C418" s="7"/>
      <x:c r="D418" s="8"/>
      <x:c r="E418" s="7"/>
      <x:c r="F418" s="7"/>
      <x:c r="G418" s="7"/>
      <x:c r="H418" s="7"/>
      <x:c r="I418" s="7"/>
      <x:c r="J418" s="9"/>
      <x:c r="K418" s="10"/>
      <x:c r="L418" s="7"/>
      <x:c r="M418" s="8"/>
      <x:c r="N418" s="17"/>
      <x:c r="O418" s="17"/>
    </x:row>
    <x:row r="419" ht="15" hidden="0" customHeight="1">
      <x:c r="A419" s="7"/>
      <x:c r="B419" s="7"/>
      <x:c r="C419" s="7"/>
      <x:c r="D419" s="8"/>
      <x:c r="E419" s="7"/>
      <x:c r="F419" s="7"/>
      <x:c r="G419" s="7"/>
      <x:c r="H419" s="7"/>
      <x:c r="I419" s="7"/>
      <x:c r="J419" s="9"/>
      <x:c r="K419" s="10"/>
      <x:c r="L419" s="7"/>
      <x:c r="M419" s="8"/>
      <x:c r="N419" s="17"/>
      <x:c r="O419" s="17"/>
    </x:row>
    <x:row r="420" ht="15" hidden="0" customHeight="1">
      <x:c r="A420" s="7"/>
      <x:c r="B420" s="7"/>
      <x:c r="C420" s="7"/>
      <x:c r="D420" s="8"/>
      <x:c r="E420" s="7"/>
      <x:c r="F420" s="7"/>
      <x:c r="G420" s="7"/>
      <x:c r="H420" s="7"/>
      <x:c r="I420" s="7"/>
      <x:c r="J420" s="9"/>
      <x:c r="K420" s="10"/>
      <x:c r="L420" s="7"/>
      <x:c r="M420" s="8"/>
      <x:c r="N420" s="17"/>
      <x:c r="O420" s="17"/>
    </x:row>
    <x:row r="421" ht="15" hidden="0" customHeight="1">
      <x:c r="A421" s="7"/>
      <x:c r="B421" s="7"/>
      <x:c r="C421" s="7"/>
      <x:c r="D421" s="8"/>
      <x:c r="E421" s="7"/>
      <x:c r="F421" s="7"/>
      <x:c r="G421" s="7"/>
      <x:c r="H421" s="7"/>
      <x:c r="I421" s="7"/>
      <x:c r="J421" s="9"/>
      <x:c r="K421" s="10"/>
      <x:c r="L421" s="7"/>
      <x:c r="M421" s="8"/>
      <x:c r="N421" s="17"/>
      <x:c r="O421" s="17"/>
    </x:row>
    <x:row r="422" ht="15" hidden="0" customHeight="1">
      <x:c r="A422" s="7"/>
      <x:c r="B422" s="7"/>
      <x:c r="C422" s="7"/>
      <x:c r="D422" s="8"/>
      <x:c r="E422" s="7"/>
      <x:c r="F422" s="7"/>
      <x:c r="G422" s="7"/>
      <x:c r="H422" s="7"/>
      <x:c r="I422" s="7"/>
      <x:c r="J422" s="9"/>
      <x:c r="K422" s="10"/>
      <x:c r="L422" s="7"/>
      <x:c r="M422" s="8"/>
      <x:c r="N422" s="17"/>
      <x:c r="O422" s="17"/>
    </x:row>
    <x:row r="423" ht="15" hidden="0" customHeight="1">
      <x:c r="A423" s="7"/>
      <x:c r="B423" s="7"/>
      <x:c r="C423" s="7"/>
      <x:c r="D423" s="8"/>
      <x:c r="E423" s="7"/>
      <x:c r="F423" s="7"/>
      <x:c r="G423" s="7"/>
      <x:c r="H423" s="7"/>
      <x:c r="I423" s="7"/>
      <x:c r="J423" s="9"/>
      <x:c r="K423" s="10"/>
      <x:c r="L423" s="7"/>
      <x:c r="M423" s="8"/>
      <x:c r="N423" s="17"/>
      <x:c r="O423" s="17"/>
    </x:row>
    <x:row r="424" ht="15" hidden="0" customHeight="1">
      <x:c r="A424" s="7"/>
      <x:c r="B424" s="7"/>
      <x:c r="C424" s="7"/>
      <x:c r="D424" s="8"/>
      <x:c r="E424" s="7"/>
      <x:c r="F424" s="7"/>
      <x:c r="G424" s="7"/>
      <x:c r="H424" s="7"/>
      <x:c r="I424" s="7"/>
      <x:c r="J424" s="9"/>
      <x:c r="K424" s="10"/>
      <x:c r="L424" s="7"/>
      <x:c r="M424" s="8"/>
      <x:c r="N424" s="17"/>
      <x:c r="O424" s="17"/>
    </x:row>
    <x:row r="425" ht="15" hidden="0" customHeight="1">
      <x:c r="A425" s="7"/>
      <x:c r="B425" s="7"/>
      <x:c r="C425" s="7"/>
      <x:c r="D425" s="8"/>
      <x:c r="E425" s="7"/>
      <x:c r="F425" s="7"/>
      <x:c r="G425" s="7"/>
      <x:c r="H425" s="7"/>
      <x:c r="I425" s="7"/>
      <x:c r="J425" s="9"/>
      <x:c r="K425" s="10"/>
      <x:c r="L425" s="7"/>
      <x:c r="M425" s="8"/>
      <x:c r="N425" s="17"/>
      <x:c r="O425" s="17"/>
    </x:row>
    <x:row r="426" ht="15" hidden="0" customHeight="1">
      <x:c r="A426" s="7"/>
      <x:c r="B426" s="7"/>
      <x:c r="C426" s="7"/>
      <x:c r="D426" s="8"/>
      <x:c r="E426" s="7"/>
      <x:c r="F426" s="7"/>
      <x:c r="G426" s="7"/>
      <x:c r="H426" s="7"/>
      <x:c r="I426" s="7"/>
      <x:c r="J426" s="9"/>
      <x:c r="K426" s="10"/>
      <x:c r="L426" s="7"/>
      <x:c r="M426" s="8"/>
      <x:c r="N426" s="17"/>
      <x:c r="O426" s="17"/>
    </x:row>
    <x:row r="427" ht="15" hidden="0" customHeight="1">
      <x:c r="A427" s="7"/>
      <x:c r="B427" s="7"/>
      <x:c r="C427" s="7"/>
      <x:c r="D427" s="8"/>
      <x:c r="E427" s="7"/>
      <x:c r="F427" s="7"/>
      <x:c r="G427" s="7"/>
      <x:c r="H427" s="7"/>
      <x:c r="I427" s="7"/>
      <x:c r="J427" s="9"/>
      <x:c r="K427" s="10"/>
      <x:c r="L427" s="7"/>
      <x:c r="M427" s="8"/>
      <x:c r="N427" s="17"/>
      <x:c r="O427" s="17"/>
    </x:row>
    <x:row r="428" ht="15" hidden="0" customHeight="1">
      <x:c r="A428" s="7"/>
      <x:c r="B428" s="7"/>
      <x:c r="C428" s="7"/>
      <x:c r="D428" s="8"/>
      <x:c r="E428" s="7"/>
      <x:c r="F428" s="7"/>
      <x:c r="G428" s="7"/>
      <x:c r="H428" s="7"/>
      <x:c r="I428" s="7"/>
      <x:c r="J428" s="9"/>
      <x:c r="K428" s="10"/>
      <x:c r="L428" s="7"/>
      <x:c r="M428" s="8"/>
      <x:c r="N428" s="17"/>
      <x:c r="O428" s="17"/>
    </x:row>
    <x:row r="429" ht="15" hidden="0" customHeight="1">
      <x:c r="A429" s="7"/>
      <x:c r="B429" s="7"/>
      <x:c r="C429" s="7"/>
      <x:c r="D429" s="8"/>
      <x:c r="E429" s="7"/>
      <x:c r="F429" s="7"/>
      <x:c r="G429" s="7"/>
      <x:c r="H429" s="7"/>
      <x:c r="I429" s="7"/>
      <x:c r="J429" s="9"/>
      <x:c r="K429" s="10"/>
      <x:c r="L429" s="7"/>
      <x:c r="M429" s="8"/>
      <x:c r="N429" s="17"/>
      <x:c r="O429" s="17"/>
    </x:row>
    <x:row r="430" ht="15" hidden="0" customHeight="1">
      <x:c r="A430" s="7"/>
      <x:c r="B430" s="7"/>
      <x:c r="C430" s="7"/>
      <x:c r="D430" s="8"/>
      <x:c r="E430" s="7"/>
      <x:c r="F430" s="7"/>
      <x:c r="G430" s="7"/>
      <x:c r="H430" s="7"/>
      <x:c r="I430" s="7"/>
      <x:c r="J430" s="9"/>
      <x:c r="K430" s="10"/>
      <x:c r="L430" s="7"/>
      <x:c r="M430" s="8"/>
      <x:c r="N430" s="17"/>
      <x:c r="O430" s="17"/>
    </x:row>
    <x:row r="431" ht="15" hidden="0" customHeight="1">
      <x:c r="A431" s="7"/>
      <x:c r="B431" s="7"/>
      <x:c r="C431" s="7"/>
      <x:c r="D431" s="8"/>
      <x:c r="E431" s="7"/>
      <x:c r="F431" s="7"/>
      <x:c r="G431" s="7"/>
      <x:c r="H431" s="7"/>
      <x:c r="I431" s="7"/>
      <x:c r="J431" s="9"/>
      <x:c r="K431" s="10"/>
      <x:c r="L431" s="7"/>
      <x:c r="M431" s="8"/>
      <x:c r="N431" s="17"/>
      <x:c r="O431" s="17"/>
    </x:row>
    <x:row r="432" ht="15" hidden="0" customHeight="1">
      <x:c r="A432" s="7"/>
      <x:c r="B432" s="7"/>
      <x:c r="C432" s="7"/>
      <x:c r="D432" s="8"/>
      <x:c r="E432" s="7"/>
      <x:c r="F432" s="7"/>
      <x:c r="G432" s="7"/>
      <x:c r="H432" s="7"/>
      <x:c r="I432" s="7"/>
      <x:c r="J432" s="9"/>
      <x:c r="K432" s="10"/>
      <x:c r="L432" s="7"/>
      <x:c r="M432" s="8"/>
      <x:c r="N432" s="17"/>
      <x:c r="O432" s="17"/>
    </x:row>
    <x:row r="433" ht="15" hidden="0" customHeight="1">
      <x:c r="A433" s="7"/>
      <x:c r="B433" s="7"/>
      <x:c r="C433" s="7"/>
      <x:c r="D433" s="8"/>
      <x:c r="E433" s="7"/>
      <x:c r="F433" s="7"/>
      <x:c r="G433" s="7"/>
      <x:c r="H433" s="7"/>
      <x:c r="I433" s="7"/>
      <x:c r="J433" s="9"/>
      <x:c r="K433" s="10"/>
      <x:c r="L433" s="7"/>
      <x:c r="M433" s="8"/>
      <x:c r="N433" s="17"/>
      <x:c r="O433" s="17"/>
    </x:row>
    <x:row r="434" ht="15" hidden="0" customHeight="1">
      <x:c r="A434" s="7"/>
      <x:c r="B434" s="7"/>
      <x:c r="C434" s="7"/>
      <x:c r="D434" s="8"/>
      <x:c r="E434" s="7"/>
      <x:c r="F434" s="7"/>
      <x:c r="G434" s="7"/>
      <x:c r="H434" s="7"/>
      <x:c r="I434" s="7"/>
      <x:c r="J434" s="9"/>
      <x:c r="K434" s="10"/>
      <x:c r="L434" s="7"/>
      <x:c r="M434" s="8"/>
      <x:c r="N434" s="17"/>
      <x:c r="O434" s="17"/>
    </x:row>
    <x:row r="435" ht="15" hidden="0" customHeight="1">
      <x:c r="A435" s="7"/>
      <x:c r="B435" s="7"/>
      <x:c r="C435" s="7"/>
      <x:c r="D435" s="8"/>
      <x:c r="E435" s="7"/>
      <x:c r="F435" s="7"/>
      <x:c r="G435" s="7"/>
      <x:c r="H435" s="7"/>
      <x:c r="I435" s="7"/>
      <x:c r="J435" s="9"/>
      <x:c r="K435" s="10"/>
      <x:c r="L435" s="7"/>
      <x:c r="M435" s="8"/>
      <x:c r="N435" s="17"/>
      <x:c r="O435" s="17"/>
    </x:row>
    <x:row r="436" ht="15" hidden="0" customHeight="1">
      <x:c r="A436" s="7"/>
      <x:c r="B436" s="7"/>
      <x:c r="C436" s="7"/>
      <x:c r="D436" s="8"/>
      <x:c r="E436" s="7"/>
      <x:c r="F436" s="7"/>
      <x:c r="G436" s="7"/>
      <x:c r="H436" s="7"/>
      <x:c r="I436" s="7"/>
      <x:c r="J436" s="9"/>
      <x:c r="K436" s="10"/>
      <x:c r="L436" s="7"/>
      <x:c r="M436" s="8"/>
      <x:c r="N436" s="17"/>
      <x:c r="O436" s="17"/>
    </x:row>
    <x:row r="437" ht="15" hidden="0" customHeight="1">
      <x:c r="A437" s="7"/>
      <x:c r="B437" s="7"/>
      <x:c r="C437" s="7"/>
      <x:c r="D437" s="8"/>
      <x:c r="E437" s="7"/>
      <x:c r="F437" s="7"/>
      <x:c r="G437" s="7"/>
      <x:c r="H437" s="7"/>
      <x:c r="I437" s="7"/>
      <x:c r="J437" s="9"/>
      <x:c r="K437" s="10"/>
      <x:c r="L437" s="7"/>
      <x:c r="M437" s="8"/>
      <x:c r="N437" s="17"/>
      <x:c r="O437" s="17"/>
    </x:row>
    <x:row r="438" ht="15" hidden="0" customHeight="1">
      <x:c r="A438" s="7"/>
      <x:c r="B438" s="7"/>
      <x:c r="C438" s="7"/>
      <x:c r="D438" s="8"/>
      <x:c r="E438" s="7"/>
      <x:c r="F438" s="7"/>
      <x:c r="G438" s="7"/>
      <x:c r="H438" s="7"/>
      <x:c r="I438" s="7"/>
      <x:c r="J438" s="9"/>
      <x:c r="K438" s="10"/>
      <x:c r="L438" s="7"/>
      <x:c r="M438" s="8"/>
      <x:c r="N438" s="17"/>
      <x:c r="O438" s="17"/>
    </x:row>
    <x:row r="439" ht="15" hidden="0" customHeight="1">
      <x:c r="A439" s="7"/>
      <x:c r="B439" s="7"/>
      <x:c r="C439" s="7"/>
      <x:c r="D439" s="8"/>
      <x:c r="E439" s="7"/>
      <x:c r="F439" s="7"/>
      <x:c r="G439" s="7"/>
      <x:c r="H439" s="7"/>
      <x:c r="I439" s="7"/>
      <x:c r="J439" s="9"/>
      <x:c r="K439" s="10"/>
      <x:c r="L439" s="7"/>
      <x:c r="M439" s="8"/>
      <x:c r="N439" s="17"/>
      <x:c r="O439" s="17"/>
    </x:row>
    <x:row r="440" ht="15" hidden="0" customHeight="1">
      <x:c r="A440" s="7"/>
      <x:c r="B440" s="7"/>
      <x:c r="C440" s="7"/>
      <x:c r="D440" s="8"/>
      <x:c r="E440" s="7"/>
      <x:c r="F440" s="7"/>
      <x:c r="G440" s="7"/>
      <x:c r="H440" s="7"/>
      <x:c r="I440" s="7"/>
      <x:c r="J440" s="9"/>
      <x:c r="K440" s="10"/>
      <x:c r="L440" s="7"/>
      <x:c r="M440" s="8"/>
      <x:c r="N440" s="17"/>
      <x:c r="O440" s="17"/>
    </x:row>
    <x:row r="441" ht="15" hidden="0" customHeight="1">
      <x:c r="A441" s="7"/>
      <x:c r="B441" s="7"/>
      <x:c r="C441" s="7"/>
      <x:c r="D441" s="8"/>
      <x:c r="E441" s="7"/>
      <x:c r="F441" s="7"/>
      <x:c r="G441" s="7"/>
      <x:c r="H441" s="7"/>
      <x:c r="I441" s="7"/>
      <x:c r="J441" s="9"/>
      <x:c r="K441" s="10"/>
      <x:c r="L441" s="7"/>
      <x:c r="M441" s="8"/>
      <x:c r="N441" s="17"/>
      <x:c r="O441" s="17"/>
    </x:row>
    <x:row r="442" ht="15" hidden="0" customHeight="1">
      <x:c r="A442" s="7"/>
      <x:c r="B442" s="7"/>
      <x:c r="C442" s="7"/>
      <x:c r="D442" s="8"/>
      <x:c r="E442" s="7"/>
      <x:c r="F442" s="7"/>
      <x:c r="G442" s="7"/>
      <x:c r="H442" s="7"/>
      <x:c r="I442" s="7"/>
      <x:c r="J442" s="9"/>
      <x:c r="K442" s="10"/>
      <x:c r="L442" s="7"/>
      <x:c r="M442" s="8"/>
      <x:c r="N442" s="17"/>
      <x:c r="O442" s="17"/>
    </x:row>
    <x:row r="443" ht="15" hidden="0" customHeight="1">
      <x:c r="A443" s="7"/>
      <x:c r="B443" s="7"/>
      <x:c r="C443" s="7"/>
      <x:c r="D443" s="8"/>
      <x:c r="E443" s="7"/>
      <x:c r="F443" s="7"/>
      <x:c r="G443" s="7"/>
      <x:c r="H443" s="7"/>
      <x:c r="I443" s="7"/>
      <x:c r="J443" s="9"/>
      <x:c r="K443" s="10"/>
      <x:c r="L443" s="7"/>
      <x:c r="M443" s="8"/>
      <x:c r="N443" s="17"/>
      <x:c r="O443" s="17"/>
    </x:row>
    <x:row r="444" ht="15" hidden="0" customHeight="1">
      <x:c r="A444" s="7"/>
      <x:c r="B444" s="7"/>
      <x:c r="C444" s="7"/>
      <x:c r="D444" s="8"/>
      <x:c r="E444" s="7"/>
      <x:c r="F444" s="7"/>
      <x:c r="G444" s="7"/>
      <x:c r="H444" s="7"/>
      <x:c r="I444" s="7"/>
      <x:c r="J444" s="9"/>
      <x:c r="K444" s="10"/>
      <x:c r="L444" s="7"/>
      <x:c r="M444" s="8"/>
      <x:c r="N444" s="17"/>
      <x:c r="O444" s="17"/>
    </x:row>
    <x:row r="445" ht="15" hidden="0" customHeight="1">
      <x:c r="A445" s="7"/>
      <x:c r="B445" s="7"/>
      <x:c r="C445" s="7"/>
      <x:c r="D445" s="8"/>
      <x:c r="E445" s="7"/>
      <x:c r="F445" s="7"/>
      <x:c r="G445" s="7"/>
      <x:c r="H445" s="7"/>
      <x:c r="I445" s="7"/>
      <x:c r="J445" s="9"/>
      <x:c r="K445" s="10"/>
      <x:c r="L445" s="7"/>
      <x:c r="M445" s="8"/>
      <x:c r="N445" s="17"/>
      <x:c r="O445" s="17"/>
    </x:row>
    <x:row r="446" ht="15" hidden="0" customHeight="1">
      <x:c r="A446" s="7"/>
      <x:c r="B446" s="7"/>
      <x:c r="C446" s="7"/>
      <x:c r="D446" s="8"/>
      <x:c r="E446" s="7"/>
      <x:c r="F446" s="7"/>
      <x:c r="G446" s="7"/>
      <x:c r="H446" s="7"/>
      <x:c r="I446" s="7"/>
      <x:c r="J446" s="9"/>
      <x:c r="K446" s="10"/>
      <x:c r="L446" s="7"/>
      <x:c r="M446" s="8"/>
      <x:c r="N446" s="17"/>
      <x:c r="O446" s="17"/>
    </x:row>
    <x:row r="447" ht="15" hidden="0" customHeight="1">
      <x:c r="A447" s="7"/>
      <x:c r="B447" s="7"/>
      <x:c r="C447" s="7"/>
      <x:c r="D447" s="8"/>
      <x:c r="E447" s="7"/>
      <x:c r="F447" s="7"/>
      <x:c r="G447" s="7"/>
      <x:c r="H447" s="7"/>
      <x:c r="I447" s="7"/>
      <x:c r="J447" s="9"/>
      <x:c r="K447" s="10"/>
      <x:c r="L447" s="7"/>
      <x:c r="M447" s="8"/>
      <x:c r="N447" s="17"/>
      <x:c r="O447" s="17"/>
    </x:row>
    <x:row r="448" ht="15" hidden="0" customHeight="1">
      <x:c r="A448" s="7"/>
      <x:c r="B448" s="7"/>
      <x:c r="C448" s="7"/>
      <x:c r="D448" s="8"/>
      <x:c r="E448" s="7"/>
      <x:c r="F448" s="7"/>
      <x:c r="G448" s="7"/>
      <x:c r="H448" s="7"/>
      <x:c r="I448" s="7"/>
      <x:c r="J448" s="9"/>
      <x:c r="K448" s="10"/>
      <x:c r="L448" s="7"/>
      <x:c r="M448" s="8"/>
      <x:c r="N448" s="17"/>
      <x:c r="O448" s="17"/>
    </x:row>
    <x:row r="449" ht="15" hidden="0" customHeight="1">
      <x:c r="A449" s="7"/>
      <x:c r="B449" s="7"/>
      <x:c r="C449" s="7"/>
      <x:c r="D449" s="8"/>
      <x:c r="E449" s="7"/>
      <x:c r="F449" s="7"/>
      <x:c r="G449" s="7"/>
      <x:c r="H449" s="7"/>
      <x:c r="I449" s="7"/>
      <x:c r="J449" s="9"/>
      <x:c r="K449" s="10"/>
      <x:c r="L449" s="7"/>
      <x:c r="M449" s="8"/>
      <x:c r="N449" s="17"/>
      <x:c r="O449" s="17"/>
    </x:row>
    <x:row r="450" ht="15" hidden="0" customHeight="1">
      <x:c r="A450" s="7"/>
      <x:c r="B450" s="7"/>
      <x:c r="C450" s="7"/>
      <x:c r="D450" s="8"/>
      <x:c r="E450" s="7"/>
      <x:c r="F450" s="7"/>
      <x:c r="G450" s="7"/>
      <x:c r="H450" s="7"/>
      <x:c r="I450" s="7"/>
      <x:c r="J450" s="9"/>
      <x:c r="K450" s="10"/>
      <x:c r="L450" s="7"/>
      <x:c r="M450" s="8"/>
      <x:c r="N450" s="17"/>
      <x:c r="O450" s="17"/>
    </x:row>
    <x:row r="451" ht="15" hidden="0" customHeight="1">
      <x:c r="A451" s="7"/>
      <x:c r="B451" s="7"/>
      <x:c r="C451" s="7"/>
      <x:c r="D451" s="8"/>
      <x:c r="E451" s="7"/>
      <x:c r="F451" s="7"/>
      <x:c r="G451" s="7"/>
      <x:c r="H451" s="7"/>
      <x:c r="I451" s="7"/>
      <x:c r="J451" s="9"/>
      <x:c r="K451" s="10"/>
      <x:c r="L451" s="7"/>
      <x:c r="M451" s="8"/>
      <x:c r="N451" s="17"/>
      <x:c r="O451" s="17"/>
    </x:row>
    <x:row r="452" ht="15" hidden="0" customHeight="1">
      <x:c r="A452" s="7"/>
      <x:c r="B452" s="7"/>
      <x:c r="C452" s="7"/>
      <x:c r="D452" s="8"/>
      <x:c r="E452" s="7"/>
      <x:c r="F452" s="7"/>
      <x:c r="G452" s="7"/>
      <x:c r="H452" s="7"/>
      <x:c r="I452" s="7"/>
      <x:c r="J452" s="9"/>
      <x:c r="K452" s="10"/>
      <x:c r="L452" s="7"/>
      <x:c r="M452" s="8"/>
      <x:c r="N452" s="17"/>
      <x:c r="O452" s="17"/>
    </x:row>
    <x:row r="453" ht="15" hidden="0" customHeight="1">
      <x:c r="A453" s="7"/>
      <x:c r="B453" s="7"/>
      <x:c r="C453" s="7"/>
      <x:c r="D453" s="8"/>
      <x:c r="E453" s="7"/>
      <x:c r="F453" s="7"/>
      <x:c r="G453" s="7"/>
      <x:c r="H453" s="7"/>
      <x:c r="I453" s="7"/>
      <x:c r="J453" s="9"/>
      <x:c r="K453" s="10"/>
      <x:c r="L453" s="7"/>
      <x:c r="M453" s="8"/>
      <x:c r="N453" s="17"/>
      <x:c r="O453" s="17"/>
    </x:row>
    <x:row r="454" ht="15" hidden="0" customHeight="1">
      <x:c r="A454" s="7"/>
      <x:c r="B454" s="7"/>
      <x:c r="C454" s="7"/>
      <x:c r="D454" s="8"/>
      <x:c r="E454" s="7"/>
      <x:c r="F454" s="7"/>
      <x:c r="G454" s="7"/>
      <x:c r="H454" s="7"/>
      <x:c r="I454" s="7"/>
      <x:c r="J454" s="9"/>
      <x:c r="K454" s="10"/>
      <x:c r="L454" s="7"/>
      <x:c r="M454" s="8"/>
      <x:c r="N454" s="17"/>
      <x:c r="O454" s="17"/>
    </x:row>
    <x:row r="455" ht="15" hidden="0" customHeight="1">
      <x:c r="A455" s="7"/>
      <x:c r="B455" s="7"/>
      <x:c r="C455" s="7"/>
      <x:c r="D455" s="8"/>
      <x:c r="E455" s="7"/>
      <x:c r="F455" s="7"/>
      <x:c r="G455" s="7"/>
      <x:c r="H455" s="7"/>
      <x:c r="I455" s="7"/>
      <x:c r="J455" s="9"/>
      <x:c r="K455" s="10"/>
      <x:c r="L455" s="7"/>
      <x:c r="M455" s="8"/>
      <x:c r="N455" s="17"/>
      <x:c r="O455" s="17"/>
    </x:row>
    <x:row r="456" ht="15" hidden="0" customHeight="1">
      <x:c r="A456" s="7"/>
      <x:c r="B456" s="7"/>
      <x:c r="C456" s="7"/>
      <x:c r="D456" s="8"/>
      <x:c r="E456" s="7"/>
      <x:c r="F456" s="7"/>
      <x:c r="G456" s="7"/>
      <x:c r="H456" s="7"/>
      <x:c r="I456" s="7"/>
      <x:c r="J456" s="9"/>
      <x:c r="K456" s="10"/>
      <x:c r="L456" s="7"/>
      <x:c r="M456" s="8"/>
      <x:c r="N456" s="17"/>
      <x:c r="O456" s="17"/>
    </x:row>
    <x:row r="457" ht="15" hidden="0" customHeight="1">
      <x:c r="A457" s="7"/>
      <x:c r="B457" s="7"/>
      <x:c r="C457" s="7"/>
      <x:c r="D457" s="8"/>
      <x:c r="E457" s="7"/>
      <x:c r="F457" s="7"/>
      <x:c r="G457" s="7"/>
      <x:c r="H457" s="7"/>
      <x:c r="I457" s="7"/>
      <x:c r="J457" s="9"/>
      <x:c r="K457" s="10"/>
      <x:c r="L457" s="7"/>
      <x:c r="M457" s="8"/>
      <x:c r="N457" s="17"/>
      <x:c r="O457" s="17"/>
    </x:row>
    <x:row r="458" ht="15" hidden="0" customHeight="1">
      <x:c r="A458" s="7"/>
      <x:c r="B458" s="7"/>
      <x:c r="C458" s="7"/>
      <x:c r="D458" s="8"/>
      <x:c r="E458" s="7"/>
      <x:c r="F458" s="7"/>
      <x:c r="G458" s="7"/>
      <x:c r="H458" s="7"/>
      <x:c r="I458" s="7"/>
      <x:c r="J458" s="9"/>
      <x:c r="K458" s="10"/>
      <x:c r="L458" s="7"/>
      <x:c r="M458" s="8"/>
      <x:c r="N458" s="17"/>
      <x:c r="O458" s="17"/>
    </x:row>
    <x:row r="459" ht="15" hidden="0" customHeight="1">
      <x:c r="A459" s="7"/>
      <x:c r="B459" s="7"/>
      <x:c r="C459" s="7"/>
      <x:c r="D459" s="8"/>
      <x:c r="E459" s="7"/>
      <x:c r="F459" s="7"/>
      <x:c r="G459" s="7"/>
      <x:c r="H459" s="7"/>
      <x:c r="I459" s="7"/>
      <x:c r="J459" s="9"/>
      <x:c r="K459" s="10"/>
      <x:c r="L459" s="7"/>
      <x:c r="M459" s="8"/>
      <x:c r="N459" s="17"/>
      <x:c r="O459" s="17"/>
    </x:row>
    <x:row r="460" ht="15" hidden="0" customHeight="1">
      <x:c r="A460" s="7"/>
      <x:c r="B460" s="7"/>
      <x:c r="C460" s="7"/>
      <x:c r="D460" s="8"/>
      <x:c r="E460" s="7"/>
      <x:c r="F460" s="7"/>
      <x:c r="G460" s="7"/>
      <x:c r="H460" s="7"/>
      <x:c r="I460" s="7"/>
      <x:c r="J460" s="9"/>
      <x:c r="K460" s="10"/>
      <x:c r="L460" s="7"/>
      <x:c r="M460" s="8"/>
      <x:c r="N460" s="17"/>
      <x:c r="O460" s="17"/>
    </x:row>
    <x:row r="461" ht="15" hidden="0" customHeight="1">
      <x:c r="A461" s="7"/>
      <x:c r="B461" s="7"/>
      <x:c r="C461" s="7"/>
      <x:c r="D461" s="8"/>
      <x:c r="E461" s="7"/>
      <x:c r="F461" s="7"/>
      <x:c r="G461" s="7"/>
      <x:c r="H461" s="7"/>
      <x:c r="I461" s="7"/>
      <x:c r="J461" s="9"/>
      <x:c r="K461" s="10"/>
      <x:c r="L461" s="7"/>
      <x:c r="M461" s="8"/>
      <x:c r="N461" s="17"/>
      <x:c r="O461" s="17"/>
    </x:row>
    <x:row r="462" ht="15" hidden="0" customHeight="1">
      <x:c r="A462" s="7"/>
      <x:c r="B462" s="7"/>
      <x:c r="C462" s="7"/>
      <x:c r="D462" s="8"/>
      <x:c r="E462" s="7"/>
      <x:c r="F462" s="7"/>
      <x:c r="G462" s="7"/>
      <x:c r="H462" s="7"/>
      <x:c r="I462" s="7"/>
      <x:c r="J462" s="9"/>
      <x:c r="K462" s="10"/>
      <x:c r="L462" s="7"/>
      <x:c r="M462" s="8"/>
      <x:c r="N462" s="17"/>
      <x:c r="O462" s="17"/>
    </x:row>
    <x:row r="463" ht="15" hidden="0" customHeight="1">
      <x:c r="A463" s="7"/>
      <x:c r="B463" s="7"/>
      <x:c r="C463" s="7"/>
      <x:c r="D463" s="8"/>
      <x:c r="E463" s="7"/>
      <x:c r="F463" s="7"/>
      <x:c r="G463" s="7"/>
      <x:c r="H463" s="7"/>
      <x:c r="I463" s="7"/>
      <x:c r="J463" s="9"/>
      <x:c r="K463" s="10"/>
      <x:c r="L463" s="7"/>
      <x:c r="M463" s="8"/>
      <x:c r="N463" s="17"/>
      <x:c r="O463" s="17"/>
    </x:row>
    <x:row r="464" ht="15" hidden="0" customHeight="1">
      <x:c r="A464" s="7"/>
      <x:c r="B464" s="7"/>
      <x:c r="C464" s="7"/>
      <x:c r="D464" s="8"/>
      <x:c r="E464" s="7"/>
      <x:c r="F464" s="7"/>
      <x:c r="G464" s="7"/>
      <x:c r="H464" s="7"/>
      <x:c r="I464" s="7"/>
      <x:c r="J464" s="9"/>
      <x:c r="K464" s="10"/>
      <x:c r="L464" s="7"/>
      <x:c r="M464" s="8"/>
      <x:c r="N464" s="17"/>
      <x:c r="O464" s="17"/>
    </x:row>
    <x:row r="465" ht="15" hidden="0" customHeight="1">
      <x:c r="A465" s="7"/>
      <x:c r="B465" s="7"/>
      <x:c r="C465" s="7"/>
      <x:c r="D465" s="8"/>
      <x:c r="E465" s="7"/>
      <x:c r="F465" s="7"/>
      <x:c r="G465" s="7"/>
      <x:c r="H465" s="7"/>
      <x:c r="I465" s="7"/>
      <x:c r="J465" s="9"/>
      <x:c r="K465" s="10"/>
      <x:c r="L465" s="7"/>
      <x:c r="M465" s="8"/>
      <x:c r="N465" s="17"/>
      <x:c r="O465" s="17"/>
    </x:row>
    <x:row r="466" ht="15" hidden="0" customHeight="1">
      <x:c r="A466" s="7"/>
      <x:c r="B466" s="7"/>
      <x:c r="C466" s="7"/>
      <x:c r="D466" s="8"/>
      <x:c r="E466" s="7"/>
      <x:c r="F466" s="7"/>
      <x:c r="G466" s="7"/>
      <x:c r="H466" s="7"/>
      <x:c r="I466" s="7"/>
      <x:c r="J466" s="9"/>
      <x:c r="K466" s="10"/>
      <x:c r="L466" s="7"/>
      <x:c r="M466" s="8"/>
      <x:c r="N466" s="17"/>
      <x:c r="O466" s="17"/>
    </x:row>
    <x:row r="467" ht="15" hidden="0" customHeight="1">
      <x:c r="A467" s="7"/>
      <x:c r="B467" s="7"/>
      <x:c r="C467" s="7"/>
      <x:c r="D467" s="8"/>
      <x:c r="E467" s="7"/>
      <x:c r="F467" s="7"/>
      <x:c r="G467" s="7"/>
      <x:c r="H467" s="7"/>
      <x:c r="I467" s="7"/>
      <x:c r="J467" s="9"/>
      <x:c r="K467" s="10"/>
      <x:c r="L467" s="7"/>
      <x:c r="M467" s="8"/>
      <x:c r="N467" s="17"/>
      <x:c r="O467" s="17"/>
    </x:row>
    <x:row r="468" ht="15" hidden="0" customHeight="1">
      <x:c r="A468" s="7"/>
      <x:c r="B468" s="7"/>
      <x:c r="C468" s="7"/>
      <x:c r="D468" s="8"/>
      <x:c r="E468" s="7"/>
      <x:c r="F468" s="7"/>
      <x:c r="G468" s="7"/>
      <x:c r="H468" s="7"/>
      <x:c r="I468" s="7"/>
      <x:c r="J468" s="9"/>
      <x:c r="K468" s="10"/>
      <x:c r="L468" s="7"/>
      <x:c r="M468" s="8"/>
      <x:c r="N468" s="17"/>
      <x:c r="O468" s="17"/>
    </x:row>
    <x:row r="469" ht="15" hidden="0" customHeight="1">
      <x:c r="A469" s="7"/>
      <x:c r="B469" s="7"/>
      <x:c r="C469" s="7"/>
      <x:c r="D469" s="8"/>
      <x:c r="E469" s="7"/>
      <x:c r="F469" s="7"/>
      <x:c r="G469" s="7"/>
      <x:c r="H469" s="7"/>
      <x:c r="I469" s="7"/>
      <x:c r="J469" s="9"/>
      <x:c r="K469" s="10"/>
      <x:c r="L469" s="7"/>
      <x:c r="M469" s="8"/>
      <x:c r="N469" s="17"/>
      <x:c r="O469" s="17"/>
    </x:row>
    <x:row r="470" ht="15" hidden="0" customHeight="1">
      <x:c r="A470" s="7"/>
      <x:c r="B470" s="7"/>
      <x:c r="C470" s="7"/>
      <x:c r="D470" s="8"/>
      <x:c r="E470" s="7"/>
      <x:c r="F470" s="7"/>
      <x:c r="G470" s="7"/>
      <x:c r="H470" s="7"/>
      <x:c r="I470" s="7"/>
      <x:c r="J470" s="9"/>
      <x:c r="K470" s="10"/>
      <x:c r="L470" s="7"/>
      <x:c r="M470" s="8"/>
      <x:c r="N470" s="17"/>
      <x:c r="O470" s="17"/>
    </x:row>
    <x:row r="471" ht="15" hidden="0" customHeight="1">
      <x:c r="A471" s="7"/>
      <x:c r="B471" s="7"/>
      <x:c r="C471" s="7"/>
      <x:c r="D471" s="8"/>
      <x:c r="E471" s="7"/>
      <x:c r="F471" s="7"/>
      <x:c r="G471" s="7"/>
      <x:c r="H471" s="7"/>
      <x:c r="I471" s="7"/>
      <x:c r="J471" s="9"/>
      <x:c r="K471" s="10"/>
      <x:c r="L471" s="7"/>
      <x:c r="M471" s="8"/>
      <x:c r="N471" s="17"/>
      <x:c r="O471" s="17"/>
    </x:row>
    <x:row r="472" ht="15" hidden="0" customHeight="1">
      <x:c r="A472" s="7"/>
      <x:c r="B472" s="7"/>
      <x:c r="C472" s="7"/>
      <x:c r="D472" s="8"/>
      <x:c r="E472" s="7"/>
      <x:c r="F472" s="7"/>
      <x:c r="G472" s="7"/>
      <x:c r="H472" s="7"/>
      <x:c r="I472" s="7"/>
      <x:c r="J472" s="9"/>
      <x:c r="K472" s="10"/>
      <x:c r="L472" s="7"/>
      <x:c r="M472" s="8"/>
      <x:c r="N472" s="17"/>
      <x:c r="O472" s="17"/>
    </x:row>
    <x:row r="473" ht="15" hidden="0" customHeight="1">
      <x:c r="A473" s="7"/>
      <x:c r="B473" s="7"/>
      <x:c r="C473" s="7"/>
      <x:c r="D473" s="8"/>
      <x:c r="E473" s="7"/>
      <x:c r="F473" s="7"/>
      <x:c r="G473" s="7"/>
      <x:c r="H473" s="7"/>
      <x:c r="I473" s="7"/>
      <x:c r="J473" s="9"/>
      <x:c r="K473" s="10"/>
      <x:c r="L473" s="7"/>
      <x:c r="M473" s="8"/>
      <x:c r="N473" s="17"/>
      <x:c r="O473" s="17"/>
    </x:row>
    <x:row r="474" ht="15" hidden="0" customHeight="1">
      <x:c r="A474" s="7"/>
      <x:c r="B474" s="7"/>
      <x:c r="C474" s="7"/>
      <x:c r="D474" s="8"/>
      <x:c r="E474" s="7"/>
      <x:c r="F474" s="7"/>
      <x:c r="G474" s="7"/>
      <x:c r="H474" s="7"/>
      <x:c r="I474" s="7"/>
      <x:c r="J474" s="9"/>
      <x:c r="K474" s="10"/>
      <x:c r="L474" s="7"/>
      <x:c r="M474" s="8"/>
      <x:c r="N474" s="17"/>
      <x:c r="O474" s="17"/>
    </x:row>
    <x:row r="475" ht="15" hidden="0" customHeight="1">
      <x:c r="A475" s="7"/>
      <x:c r="B475" s="7"/>
      <x:c r="C475" s="7"/>
      <x:c r="D475" s="8"/>
      <x:c r="E475" s="7"/>
      <x:c r="F475" s="7"/>
      <x:c r="G475" s="7"/>
      <x:c r="H475" s="7"/>
      <x:c r="I475" s="7"/>
      <x:c r="J475" s="9"/>
      <x:c r="K475" s="10"/>
      <x:c r="L475" s="7"/>
      <x:c r="M475" s="8"/>
      <x:c r="N475" s="17"/>
      <x:c r="O475" s="17"/>
    </x:row>
    <x:row r="476" ht="15" hidden="0" customHeight="1">
      <x:c r="A476" s="7"/>
      <x:c r="B476" s="7"/>
      <x:c r="C476" s="7"/>
      <x:c r="D476" s="8"/>
      <x:c r="E476" s="7"/>
      <x:c r="F476" s="7"/>
      <x:c r="G476" s="7"/>
      <x:c r="H476" s="7"/>
      <x:c r="I476" s="7"/>
      <x:c r="J476" s="9"/>
      <x:c r="K476" s="10"/>
      <x:c r="L476" s="7"/>
      <x:c r="M476" s="8"/>
      <x:c r="N476" s="17"/>
      <x:c r="O476" s="17"/>
    </x:row>
    <x:row r="477" ht="15" hidden="0" customHeight="1">
      <x:c r="A477" s="7"/>
      <x:c r="B477" s="7"/>
      <x:c r="C477" s="7"/>
      <x:c r="D477" s="8"/>
      <x:c r="E477" s="7"/>
      <x:c r="F477" s="7"/>
      <x:c r="G477" s="7"/>
      <x:c r="H477" s="7"/>
      <x:c r="I477" s="7"/>
      <x:c r="J477" s="9"/>
      <x:c r="K477" s="10"/>
      <x:c r="L477" s="7"/>
      <x:c r="M477" s="8"/>
      <x:c r="N477" s="17"/>
      <x:c r="O477" s="17"/>
    </x:row>
    <x:row r="478" ht="15" hidden="0" customHeight="1">
      <x:c r="A478" s="7"/>
      <x:c r="B478" s="7"/>
      <x:c r="C478" s="7"/>
      <x:c r="D478" s="8"/>
      <x:c r="E478" s="7"/>
      <x:c r="F478" s="7"/>
      <x:c r="G478" s="7"/>
      <x:c r="H478" s="7"/>
      <x:c r="I478" s="7"/>
      <x:c r="J478" s="9"/>
      <x:c r="K478" s="10"/>
      <x:c r="L478" s="7"/>
      <x:c r="M478" s="8"/>
      <x:c r="N478" s="17"/>
      <x:c r="O478" s="17"/>
    </x:row>
    <x:row r="479" ht="15" hidden="0" customHeight="1">
      <x:c r="A479" s="7"/>
      <x:c r="B479" s="7"/>
      <x:c r="C479" s="7"/>
      <x:c r="D479" s="8"/>
      <x:c r="E479" s="7"/>
      <x:c r="F479" s="7"/>
      <x:c r="G479" s="7"/>
      <x:c r="H479" s="7"/>
      <x:c r="I479" s="7"/>
      <x:c r="J479" s="9"/>
      <x:c r="K479" s="10"/>
      <x:c r="L479" s="7"/>
      <x:c r="M479" s="8"/>
      <x:c r="N479" s="17"/>
      <x:c r="O479" s="17"/>
    </x:row>
    <x:row r="480" ht="15" hidden="0" customHeight="1">
      <x:c r="A480" s="7"/>
      <x:c r="B480" s="7"/>
      <x:c r="C480" s="7"/>
      <x:c r="D480" s="8"/>
      <x:c r="E480" s="7"/>
      <x:c r="F480" s="7"/>
      <x:c r="G480" s="7"/>
      <x:c r="H480" s="7"/>
      <x:c r="I480" s="7"/>
      <x:c r="J480" s="9"/>
      <x:c r="K480" s="10"/>
      <x:c r="L480" s="7"/>
      <x:c r="M480" s="8"/>
      <x:c r="N480" s="17"/>
      <x:c r="O480" s="17"/>
    </x:row>
    <x:row r="481" ht="15" hidden="0" customHeight="1">
      <x:c r="A481" s="7"/>
      <x:c r="B481" s="7"/>
      <x:c r="C481" s="7"/>
      <x:c r="D481" s="8"/>
      <x:c r="E481" s="7"/>
      <x:c r="F481" s="7"/>
      <x:c r="G481" s="7"/>
      <x:c r="H481" s="7"/>
      <x:c r="I481" s="7"/>
      <x:c r="J481" s="9"/>
      <x:c r="K481" s="10"/>
      <x:c r="L481" s="7"/>
      <x:c r="M481" s="8"/>
      <x:c r="N481" s="17"/>
      <x:c r="O481" s="17"/>
    </x:row>
    <x:row r="482" ht="15" hidden="0" customHeight="1">
      <x:c r="A482" s="7"/>
      <x:c r="B482" s="7"/>
      <x:c r="C482" s="7"/>
      <x:c r="D482" s="8"/>
      <x:c r="E482" s="7"/>
      <x:c r="F482" s="7"/>
      <x:c r="G482" s="7"/>
      <x:c r="H482" s="7"/>
      <x:c r="I482" s="7"/>
      <x:c r="J482" s="9"/>
      <x:c r="K482" s="10"/>
      <x:c r="L482" s="7"/>
      <x:c r="M482" s="8"/>
      <x:c r="N482" s="17"/>
      <x:c r="O482" s="17"/>
    </x:row>
    <x:row r="483" ht="15" hidden="0" customHeight="1">
      <x:c r="A483" s="7"/>
      <x:c r="B483" s="7"/>
      <x:c r="C483" s="7"/>
      <x:c r="D483" s="8"/>
      <x:c r="E483" s="7"/>
      <x:c r="F483" s="7"/>
      <x:c r="G483" s="7"/>
      <x:c r="H483" s="7"/>
      <x:c r="I483" s="7"/>
      <x:c r="J483" s="9"/>
      <x:c r="K483" s="10"/>
      <x:c r="L483" s="7"/>
      <x:c r="M483" s="8"/>
      <x:c r="N483" s="17"/>
      <x:c r="O483" s="17"/>
    </x:row>
    <x:row r="484" ht="15" hidden="0" customHeight="1">
      <x:c r="A484" s="7"/>
      <x:c r="B484" s="7"/>
      <x:c r="C484" s="7"/>
      <x:c r="D484" s="8"/>
      <x:c r="E484" s="7"/>
      <x:c r="F484" s="7"/>
      <x:c r="G484" s="7"/>
      <x:c r="H484" s="7"/>
      <x:c r="I484" s="7"/>
      <x:c r="J484" s="9"/>
      <x:c r="K484" s="10"/>
      <x:c r="L484" s="7"/>
      <x:c r="M484" s="8"/>
      <x:c r="N484" s="17"/>
      <x:c r="O484" s="17"/>
    </x:row>
    <x:row r="485" ht="15" hidden="0" customHeight="1">
      <x:c r="A485" s="7"/>
      <x:c r="B485" s="7"/>
      <x:c r="C485" s="7"/>
      <x:c r="D485" s="8"/>
      <x:c r="E485" s="7"/>
      <x:c r="F485" s="7"/>
      <x:c r="G485" s="7"/>
      <x:c r="H485" s="7"/>
      <x:c r="I485" s="7"/>
      <x:c r="J485" s="9"/>
      <x:c r="K485" s="10"/>
      <x:c r="L485" s="7"/>
      <x:c r="M485" s="8"/>
      <x:c r="N485" s="17"/>
      <x:c r="O485" s="17"/>
    </x:row>
    <x:row r="486" ht="15" hidden="0" customHeight="1">
      <x:c r="A486" s="7"/>
      <x:c r="B486" s="7"/>
      <x:c r="C486" s="7"/>
      <x:c r="D486" s="8"/>
      <x:c r="E486" s="7"/>
      <x:c r="F486" s="7"/>
      <x:c r="G486" s="7"/>
      <x:c r="H486" s="7"/>
      <x:c r="I486" s="7"/>
      <x:c r="J486" s="9"/>
      <x:c r="K486" s="10"/>
      <x:c r="L486" s="7"/>
      <x:c r="M486" s="8"/>
      <x:c r="N486" s="17"/>
      <x:c r="O486" s="17"/>
    </x:row>
    <x:row r="487" ht="15" hidden="0" customHeight="1">
      <x:c r="A487" s="7"/>
      <x:c r="B487" s="7"/>
      <x:c r="C487" s="7"/>
      <x:c r="D487" s="8"/>
      <x:c r="E487" s="7"/>
      <x:c r="F487" s="7"/>
      <x:c r="G487" s="7"/>
      <x:c r="H487" s="7"/>
      <x:c r="I487" s="7"/>
      <x:c r="J487" s="9"/>
      <x:c r="K487" s="10"/>
      <x:c r="L487" s="7"/>
      <x:c r="M487" s="8"/>
      <x:c r="N487" s="17"/>
      <x:c r="O487" s="17"/>
    </x:row>
    <x:row r="488" ht="15" hidden="0" customHeight="1">
      <x:c r="A488" s="7"/>
      <x:c r="B488" s="7"/>
      <x:c r="C488" s="7"/>
      <x:c r="D488" s="8"/>
      <x:c r="E488" s="7"/>
      <x:c r="F488" s="7"/>
      <x:c r="G488" s="7"/>
      <x:c r="H488" s="7"/>
      <x:c r="I488" s="7"/>
      <x:c r="J488" s="9"/>
      <x:c r="K488" s="10"/>
      <x:c r="L488" s="7"/>
      <x:c r="M488" s="8"/>
      <x:c r="N488" s="17"/>
      <x:c r="O488" s="17"/>
    </x:row>
    <x:row r="489" ht="15" hidden="0" customHeight="1">
      <x:c r="A489" s="7"/>
      <x:c r="B489" s="7"/>
      <x:c r="C489" s="7"/>
      <x:c r="D489" s="8"/>
      <x:c r="E489" s="7"/>
      <x:c r="F489" s="7"/>
      <x:c r="G489" s="7"/>
      <x:c r="H489" s="7"/>
      <x:c r="I489" s="7"/>
      <x:c r="J489" s="9"/>
      <x:c r="K489" s="10"/>
      <x:c r="L489" s="7"/>
      <x:c r="M489" s="8"/>
      <x:c r="N489" s="17"/>
      <x:c r="O489" s="17"/>
    </x:row>
    <x:row r="490" ht="15" hidden="0" customHeight="1">
      <x:c r="A490" s="7"/>
      <x:c r="B490" s="7"/>
      <x:c r="C490" s="7"/>
      <x:c r="D490" s="8"/>
      <x:c r="E490" s="7"/>
      <x:c r="F490" s="7"/>
      <x:c r="G490" s="7"/>
      <x:c r="H490" s="7"/>
      <x:c r="I490" s="7"/>
      <x:c r="J490" s="9"/>
      <x:c r="K490" s="10"/>
      <x:c r="L490" s="7"/>
      <x:c r="M490" s="8"/>
      <x:c r="N490" s="17"/>
      <x:c r="O490" s="17"/>
    </x:row>
    <x:row r="491" ht="15" hidden="0" customHeight="1">
      <x:c r="A491" s="7"/>
      <x:c r="B491" s="7"/>
      <x:c r="C491" s="7"/>
      <x:c r="D491" s="8"/>
      <x:c r="E491" s="7"/>
      <x:c r="F491" s="7"/>
      <x:c r="G491" s="7"/>
      <x:c r="H491" s="7"/>
      <x:c r="I491" s="7"/>
      <x:c r="J491" s="9"/>
      <x:c r="K491" s="10"/>
      <x:c r="L491" s="7"/>
      <x:c r="M491" s="8"/>
      <x:c r="N491" s="17"/>
      <x:c r="O491" s="17"/>
    </x:row>
    <x:row r="492" ht="15" hidden="0" customHeight="1">
      <x:c r="A492" s="7"/>
      <x:c r="B492" s="7"/>
      <x:c r="C492" s="7"/>
      <x:c r="D492" s="8"/>
      <x:c r="E492" s="7"/>
      <x:c r="F492" s="7"/>
      <x:c r="G492" s="7"/>
      <x:c r="H492" s="7"/>
      <x:c r="I492" s="7"/>
      <x:c r="J492" s="9"/>
      <x:c r="K492" s="10"/>
      <x:c r="L492" s="7"/>
      <x:c r="M492" s="8"/>
      <x:c r="N492" s="17"/>
      <x:c r="O492" s="17"/>
    </x:row>
    <x:row r="493" ht="15" hidden="0" customHeight="1">
      <x:c r="A493" s="7"/>
      <x:c r="B493" s="7"/>
      <x:c r="C493" s="7"/>
      <x:c r="D493" s="8"/>
      <x:c r="E493" s="7"/>
      <x:c r="F493" s="7"/>
      <x:c r="G493" s="7"/>
      <x:c r="H493" s="7"/>
      <x:c r="I493" s="7"/>
      <x:c r="J493" s="9"/>
      <x:c r="K493" s="10"/>
      <x:c r="L493" s="7"/>
      <x:c r="M493" s="8"/>
      <x:c r="N493" s="17"/>
      <x:c r="O493" s="17"/>
    </x:row>
    <x:row r="494" ht="15" hidden="0" customHeight="1">
      <x:c r="A494" s="7"/>
      <x:c r="B494" s="7"/>
      <x:c r="C494" s="7"/>
      <x:c r="D494" s="8"/>
      <x:c r="E494" s="7"/>
      <x:c r="F494" s="7"/>
      <x:c r="G494" s="7"/>
      <x:c r="H494" s="7"/>
      <x:c r="I494" s="7"/>
      <x:c r="J494" s="9"/>
      <x:c r="K494" s="10"/>
      <x:c r="L494" s="7"/>
      <x:c r="M494" s="8"/>
      <x:c r="N494" s="17"/>
      <x:c r="O494" s="17"/>
    </x:row>
    <x:row r="495" ht="15" hidden="0" customHeight="1">
      <x:c r="A495" s="7"/>
      <x:c r="B495" s="7"/>
      <x:c r="C495" s="7"/>
      <x:c r="D495" s="8"/>
      <x:c r="E495" s="7"/>
      <x:c r="F495" s="7"/>
      <x:c r="G495" s="7"/>
      <x:c r="H495" s="7"/>
      <x:c r="I495" s="7"/>
      <x:c r="J495" s="9"/>
      <x:c r="K495" s="10"/>
      <x:c r="L495" s="7"/>
      <x:c r="M495" s="8"/>
      <x:c r="N495" s="17"/>
      <x:c r="O495" s="17"/>
    </x:row>
    <x:row r="496" ht="15" hidden="0" customHeight="1">
      <x:c r="A496" s="7"/>
      <x:c r="B496" s="7"/>
      <x:c r="C496" s="7"/>
      <x:c r="D496" s="8"/>
      <x:c r="E496" s="7"/>
      <x:c r="F496" s="7"/>
      <x:c r="G496" s="7"/>
      <x:c r="H496" s="7"/>
      <x:c r="I496" s="7"/>
      <x:c r="J496" s="9"/>
      <x:c r="K496" s="10"/>
      <x:c r="L496" s="7"/>
      <x:c r="M496" s="8"/>
      <x:c r="N496" s="17"/>
      <x:c r="O496" s="17"/>
    </x:row>
    <x:row r="497" ht="15" hidden="0" customHeight="1">
      <x:c r="A497" s="7"/>
      <x:c r="B497" s="7"/>
      <x:c r="C497" s="7"/>
      <x:c r="D497" s="8"/>
      <x:c r="E497" s="7"/>
      <x:c r="F497" s="7"/>
      <x:c r="G497" s="7"/>
      <x:c r="H497" s="7"/>
      <x:c r="I497" s="7"/>
      <x:c r="J497" s="9"/>
      <x:c r="K497" s="10"/>
      <x:c r="L497" s="7"/>
      <x:c r="M497" s="8"/>
      <x:c r="N497" s="17"/>
      <x:c r="O497" s="17"/>
    </x:row>
    <x:row r="498" ht="15" hidden="0" customHeight="1">
      <x:c r="A498" s="7"/>
      <x:c r="B498" s="7"/>
      <x:c r="C498" s="7"/>
      <x:c r="D498" s="8"/>
      <x:c r="E498" s="7"/>
      <x:c r="F498" s="7"/>
      <x:c r="G498" s="7"/>
      <x:c r="H498" s="7"/>
      <x:c r="I498" s="7"/>
      <x:c r="J498" s="9"/>
      <x:c r="K498" s="10"/>
      <x:c r="L498" s="7"/>
      <x:c r="M498" s="8"/>
      <x:c r="N498" s="17"/>
      <x:c r="O498" s="17"/>
    </x:row>
    <x:row r="499" ht="15" hidden="0" customHeight="1">
      <x:c r="A499" s="7"/>
      <x:c r="B499" s="7"/>
      <x:c r="C499" s="7"/>
      <x:c r="D499" s="8"/>
      <x:c r="E499" s="7"/>
      <x:c r="F499" s="7"/>
      <x:c r="G499" s="7"/>
      <x:c r="H499" s="7"/>
      <x:c r="I499" s="7"/>
      <x:c r="J499" s="9"/>
      <x:c r="K499" s="10"/>
      <x:c r="L499" s="7"/>
      <x:c r="M499" s="8"/>
      <x:c r="N499" s="17"/>
      <x:c r="O499" s="17"/>
    </x:row>
    <x:row r="500" ht="15" hidden="0" customHeight="1">
      <x:c r="A500" s="7"/>
      <x:c r="B500" s="7"/>
      <x:c r="C500" s="7"/>
      <x:c r="D500" s="8"/>
      <x:c r="E500" s="7"/>
      <x:c r="F500" s="7"/>
      <x:c r="G500" s="7"/>
      <x:c r="H500" s="7"/>
      <x:c r="I500" s="7"/>
      <x:c r="J500" s="9"/>
      <x:c r="K500" s="10"/>
      <x:c r="L500" s="7"/>
      <x:c r="M500" s="8"/>
      <x:c r="N500" s="17"/>
      <x:c r="O500" s="17"/>
    </x:row>
    <x:row r="501" ht="15" hidden="0" customHeight="1">
      <x:c r="A501" s="7"/>
      <x:c r="B501" s="7"/>
      <x:c r="C501" s="7"/>
      <x:c r="D501" s="8"/>
      <x:c r="E501" s="7"/>
      <x:c r="F501" s="7"/>
      <x:c r="G501" s="7"/>
      <x:c r="H501" s="7"/>
      <x:c r="I501" s="7"/>
      <x:c r="J501" s="9"/>
      <x:c r="K501" s="10"/>
      <x:c r="L501" s="7"/>
      <x:c r="M501" s="8"/>
      <x:c r="N501" s="17"/>
      <x:c r="O501" s="17"/>
    </x:row>
    <x:row r="502" ht="15" hidden="0" customHeight="1">
      <x:c r="A502" s="7"/>
      <x:c r="B502" s="7"/>
      <x:c r="C502" s="7"/>
      <x:c r="D502" s="8"/>
      <x:c r="E502" s="7"/>
      <x:c r="F502" s="7"/>
      <x:c r="G502" s="7"/>
      <x:c r="H502" s="7"/>
      <x:c r="I502" s="7"/>
      <x:c r="J502" s="9"/>
      <x:c r="K502" s="10"/>
      <x:c r="L502" s="7"/>
      <x:c r="M502" s="8"/>
      <x:c r="N502" s="17"/>
      <x:c r="O502" s="17"/>
    </x:row>
    <x:row r="503" ht="15" hidden="0" customHeight="1">
      <x:c r="A503" s="7"/>
      <x:c r="B503" s="7"/>
      <x:c r="C503" s="7"/>
      <x:c r="D503" s="8"/>
      <x:c r="E503" s="7"/>
      <x:c r="F503" s="7"/>
      <x:c r="G503" s="7"/>
      <x:c r="H503" s="7"/>
      <x:c r="I503" s="7"/>
      <x:c r="J503" s="9"/>
      <x:c r="K503" s="10"/>
      <x:c r="L503" s="7"/>
      <x:c r="M503" s="8"/>
      <x:c r="N503" s="17"/>
      <x:c r="O503" s="17"/>
    </x:row>
    <x:row r="504" ht="15" hidden="0" customHeight="1">
      <x:c r="A504" s="7"/>
      <x:c r="B504" s="7"/>
      <x:c r="C504" s="7"/>
      <x:c r="D504" s="8"/>
      <x:c r="E504" s="7"/>
      <x:c r="F504" s="7"/>
      <x:c r="G504" s="7"/>
      <x:c r="H504" s="7"/>
      <x:c r="I504" s="7"/>
      <x:c r="J504" s="9"/>
      <x:c r="K504" s="10"/>
      <x:c r="L504" s="7"/>
      <x:c r="M504" s="8"/>
      <x:c r="N504" s="17"/>
      <x:c r="O504" s="17"/>
    </x:row>
    <x:row r="505" ht="15" hidden="0" customHeight="1">
      <x:c r="A505" s="7"/>
      <x:c r="B505" s="7"/>
      <x:c r="C505" s="7"/>
      <x:c r="D505" s="8"/>
      <x:c r="E505" s="7"/>
      <x:c r="F505" s="7"/>
      <x:c r="G505" s="7"/>
      <x:c r="H505" s="7"/>
      <x:c r="I505" s="7"/>
      <x:c r="J505" s="9"/>
      <x:c r="K505" s="10"/>
      <x:c r="L505" s="7"/>
      <x:c r="M505" s="8"/>
      <x:c r="N505" s="17"/>
      <x:c r="O505" s="17"/>
    </x:row>
    <x:row r="506" ht="15" hidden="0" customHeight="1">
      <x:c r="A506" s="7"/>
      <x:c r="B506" s="7"/>
      <x:c r="C506" s="7"/>
      <x:c r="D506" s="8"/>
      <x:c r="E506" s="7"/>
      <x:c r="F506" s="7"/>
      <x:c r="G506" s="7"/>
      <x:c r="H506" s="7"/>
      <x:c r="I506" s="7"/>
      <x:c r="J506" s="9"/>
      <x:c r="K506" s="10"/>
      <x:c r="L506" s="7"/>
      <x:c r="M506" s="8"/>
      <x:c r="N506" s="17"/>
      <x:c r="O506" s="17"/>
    </x:row>
    <x:row r="507" ht="15" hidden="0" customHeight="1">
      <x:c r="A507" s="7"/>
      <x:c r="B507" s="7"/>
      <x:c r="C507" s="7"/>
      <x:c r="D507" s="8"/>
      <x:c r="E507" s="7"/>
      <x:c r="F507" s="7"/>
      <x:c r="G507" s="7"/>
      <x:c r="H507" s="7"/>
      <x:c r="I507" s="7"/>
      <x:c r="J507" s="9"/>
      <x:c r="K507" s="10"/>
      <x:c r="L507" s="7"/>
      <x:c r="M507" s="8"/>
      <x:c r="N507" s="17"/>
      <x:c r="O507" s="17"/>
    </x:row>
    <x:row r="508" ht="15" hidden="0" customHeight="1">
      <x:c r="A508" s="7"/>
      <x:c r="B508" s="7"/>
      <x:c r="C508" s="7"/>
      <x:c r="D508" s="8"/>
      <x:c r="E508" s="7"/>
      <x:c r="F508" s="7"/>
      <x:c r="G508" s="7"/>
      <x:c r="H508" s="7"/>
      <x:c r="I508" s="7"/>
      <x:c r="J508" s="9"/>
      <x:c r="K508" s="10"/>
      <x:c r="L508" s="7"/>
      <x:c r="M508" s="8"/>
      <x:c r="N508" s="17"/>
      <x:c r="O508" s="17"/>
    </x:row>
    <x:row r="509" ht="15" hidden="0" customHeight="1">
      <x:c r="A509" s="7"/>
      <x:c r="B509" s="7"/>
      <x:c r="C509" s="7"/>
      <x:c r="D509" s="8"/>
      <x:c r="E509" s="7"/>
      <x:c r="F509" s="7"/>
      <x:c r="G509" s="7"/>
      <x:c r="H509" s="7"/>
      <x:c r="I509" s="7"/>
      <x:c r="J509" s="9"/>
      <x:c r="K509" s="10"/>
      <x:c r="L509" s="7"/>
      <x:c r="M509" s="8"/>
      <x:c r="N509" s="17"/>
      <x:c r="O509" s="17"/>
    </x:row>
    <x:row r="510" ht="15" hidden="0" customHeight="1">
      <x:c r="A510" s="7"/>
      <x:c r="B510" s="7"/>
      <x:c r="C510" s="7"/>
      <x:c r="D510" s="8"/>
      <x:c r="E510" s="7"/>
      <x:c r="F510" s="7"/>
      <x:c r="G510" s="7"/>
      <x:c r="H510" s="7"/>
      <x:c r="I510" s="7"/>
      <x:c r="J510" s="9"/>
      <x:c r="K510" s="10"/>
      <x:c r="L510" s="7"/>
      <x:c r="M510" s="8"/>
      <x:c r="N510" s="17"/>
      <x:c r="O510" s="17"/>
    </x:row>
    <x:row r="511" ht="15" hidden="0" customHeight="1">
      <x:c r="A511" s="7"/>
      <x:c r="B511" s="7"/>
      <x:c r="C511" s="7"/>
      <x:c r="D511" s="8"/>
      <x:c r="E511" s="7"/>
      <x:c r="F511" s="7"/>
      <x:c r="G511" s="7"/>
      <x:c r="H511" s="7"/>
      <x:c r="I511" s="7"/>
      <x:c r="J511" s="9"/>
      <x:c r="K511" s="10"/>
      <x:c r="L511" s="7"/>
      <x:c r="M511" s="8"/>
      <x:c r="N511" s="17"/>
      <x:c r="O511" s="17"/>
    </x:row>
    <x:row r="512" ht="15" hidden="0" customHeight="1">
      <x:c r="A512" s="7"/>
      <x:c r="B512" s="7"/>
      <x:c r="C512" s="7"/>
      <x:c r="D512" s="8"/>
      <x:c r="E512" s="7"/>
      <x:c r="F512" s="7"/>
      <x:c r="G512" s="7"/>
      <x:c r="H512" s="7"/>
      <x:c r="I512" s="7"/>
      <x:c r="J512" s="9"/>
      <x:c r="K512" s="10"/>
      <x:c r="L512" s="7"/>
      <x:c r="M512" s="8"/>
      <x:c r="N512" s="17"/>
      <x:c r="O512" s="17"/>
    </x:row>
    <x:row r="513" ht="15" hidden="0" customHeight="1">
      <x:c r="A513" s="7"/>
      <x:c r="B513" s="7"/>
      <x:c r="C513" s="7"/>
      <x:c r="D513" s="8"/>
      <x:c r="E513" s="7"/>
      <x:c r="F513" s="7"/>
      <x:c r="G513" s="7"/>
      <x:c r="H513" s="7"/>
      <x:c r="I513" s="7"/>
      <x:c r="J513" s="9"/>
      <x:c r="K513" s="10"/>
      <x:c r="L513" s="7"/>
      <x:c r="M513" s="8"/>
      <x:c r="N513" s="17"/>
      <x:c r="O513" s="17"/>
    </x:row>
    <x:row r="514" ht="15" hidden="0" customHeight="1">
      <x:c r="A514" s="7"/>
      <x:c r="B514" s="7"/>
      <x:c r="C514" s="7"/>
      <x:c r="D514" s="8"/>
      <x:c r="E514" s="7"/>
      <x:c r="F514" s="7"/>
      <x:c r="G514" s="7"/>
      <x:c r="H514" s="7"/>
      <x:c r="I514" s="7"/>
      <x:c r="J514" s="9"/>
      <x:c r="K514" s="10"/>
      <x:c r="L514" s="7"/>
      <x:c r="M514" s="8"/>
      <x:c r="N514" s="17"/>
      <x:c r="O514" s="17"/>
    </x:row>
    <x:row r="515" ht="15" hidden="0" customHeight="1">
      <x:c r="A515" s="7"/>
      <x:c r="B515" s="7"/>
      <x:c r="C515" s="7"/>
      <x:c r="D515" s="8"/>
      <x:c r="E515" s="7"/>
      <x:c r="F515" s="7"/>
      <x:c r="G515" s="7"/>
      <x:c r="H515" s="7"/>
      <x:c r="I515" s="7"/>
      <x:c r="J515" s="9"/>
      <x:c r="K515" s="10"/>
      <x:c r="L515" s="7"/>
      <x:c r="M515" s="8"/>
      <x:c r="N515" s="17"/>
      <x:c r="O515" s="17"/>
    </x:row>
    <x:row r="516" ht="15" hidden="0" customHeight="1">
      <x:c r="A516" s="7"/>
      <x:c r="B516" s="7"/>
      <x:c r="C516" s="7"/>
      <x:c r="D516" s="8"/>
      <x:c r="E516" s="7"/>
      <x:c r="F516" s="7"/>
      <x:c r="G516" s="7"/>
      <x:c r="H516" s="7"/>
      <x:c r="I516" s="7"/>
      <x:c r="J516" s="9"/>
      <x:c r="K516" s="10"/>
      <x:c r="L516" s="7"/>
      <x:c r="M516" s="8"/>
      <x:c r="N516" s="17"/>
      <x:c r="O516" s="17"/>
    </x:row>
    <x:row r="517" ht="15" hidden="0" customHeight="1">
      <x:c r="A517" s="7"/>
      <x:c r="B517" s="7"/>
      <x:c r="C517" s="7"/>
      <x:c r="D517" s="8"/>
      <x:c r="E517" s="7"/>
      <x:c r="F517" s="7"/>
      <x:c r="G517" s="7"/>
      <x:c r="H517" s="7"/>
      <x:c r="I517" s="7"/>
      <x:c r="J517" s="9"/>
      <x:c r="K517" s="10"/>
      <x:c r="L517" s="7"/>
      <x:c r="M517" s="8"/>
      <x:c r="N517" s="17"/>
      <x:c r="O517" s="17"/>
    </x:row>
  </x:sheetData>
  <x:mergeCells>
    <x:mergeCell ref="A2:M2"/>
  </x:mergeCells>
  <x:conditionalFormatting sqref="J5:J516">
    <x:cfRule type="containsText" dxfId="3" priority="1" operator="containsText" text="RESUELTO"/>
    <x:cfRule type="containsText" dxfId="4" priority="2" operator="containsText" text="EN PROCESO"/>
    <x:cfRule type="containsText" dxfId="5" priority="3" operator="containsText" text="PENDIEN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34" hidden="0" customWidth="1"/>
    <x:col min="5" max="5" width="38" hidden="0" customWidth="1"/>
    <x:col min="6" max="6" width="14" hidden="0" customWidth="1"/>
    <x:col min="7" max="7" width="18" hidden="0" customWidth="1"/>
    <x:col min="8" max="8" width="18" hidden="0" customWidth="1"/>
    <x:col min="9" max="9" width="10" hidden="0" customWidth="1"/>
    <x:col min="10" max="10" width="14" hidden="0" customWidth="1"/>
    <x:col min="11" max="11" width="16" hidden="0" customWidth="1"/>
    <x:col min="12" max="12" width="20" hidden="0" customWidth="1"/>
    <x:col min="13" max="13" width="52" hidden="0" customWidth="1"/>
    <x:col min="15" max="15" width="16" hidden="0" customWidth="1"/>
  </x:cols>
  <x:sheetData>
    <x:row r="2" ht="15" hidden="0" customHeight="1">
      <x:c r="A2" s="2" t="str">
        <x:v>VULNERABILIDAD HIGH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2" t="str">
        <x:v>ESTATUS</x:v>
      </x:c>
    </x:row>
    <x:row r="4" ht="15" hidden="0" customHeight="1">
      <x:c r="A4" s="6" t="str">
        <x:v>ID</x:v>
      </x:c>
      <x:c r="B4" s="6" t="str">
        <x:v>Scanner</x:v>
      </x:c>
      <x:c r="C4" s="6" t="str">
        <x:v>Gravedad</x:v>
      </x:c>
      <x:c r="D4" s="6" t="str">
        <x:v>Vulnerabilidad</x:v>
      </x:c>
      <x:c r="E4" s="6" t="str">
        <x:v>Package Name</x:v>
      </x:c>
      <x:c r="F4" s="6" t="str">
        <x:v>Version</x:v>
      </x:c>
      <x:c r="G4" s="6" t="str">
        <x:v>Categoria</x:v>
      </x:c>
      <x:c r="H4" s="6" t="str">
        <x:v>CVE</x:v>
      </x:c>
      <x:c r="I4" s="6" t="str">
        <x:v>PaginaDF</x:v>
      </x:c>
      <x:c r="J4" s="6" t="str">
        <x:v>ESTADO</x:v>
      </x:c>
      <x:c r="K4" s="6" t="str">
        <x:v>Fecha tentativa</x:v>
      </x:c>
      <x:c r="L4" s="6" t="str">
        <x:v>Entrega</x:v>
      </x:c>
      <x:c r="M4" s="6" t="str">
        <x:v>Observaciones</x:v>
      </x:c>
      <x:c r="N4" s="17"/>
      <x:c r="O4" s="11" t="str">
        <x:v>RESUELTO</x:v>
      </x:c>
    </x:row>
    <x:row r="5" ht="15" hidden="0" customHeight="1">
      <x:c r="A5" s="7" t="str" cm="1">
        <x:f t="array" ref="A5:M160">_xlfn._xlws.FILTER('COMPENDIO'!A5:M516,'COMPENDIO'!C5:C516="HIGH","")</x:f>
        <x:v>SIAJ-0001</x:v>
      </x:c>
      <x:c r="B5" s="7" t="str">
        <x:v>SAST</x:v>
      </x:c>
      <x:c r="C5" s="7" t="str">
        <x:v>HIGH</x:v>
      </x:c>
      <x:c r="D5" s="8" t="str">
        <x:v>Absolute_Path_Traversal 1/4</x:v>
      </x:c>
      <x:c r="E5" s="7" t="str">
        <x:v>Código fuente Java</x:v>
      </x:c>
      <x:c r="F5" s="7" t="str"/>
      <x:c r="G5" s="7" t="str">
        <x:v>CWE-36</x:v>
      </x:c>
      <x:c r="H5" s="7" t="str"/>
      <x:c r="I5" s="7" t="n">
        <x:v>11</x:v>
      </x:c>
      <x:c r="J5" s="9" t="str">
        <x:v>EN PROCESO</x:v>
      </x:c>
      <x:c r="K5" s="10" t="n">
        <x:v>46254</x:v>
      </x:c>
      <x:c r="L5" s="7" t="str">
        <x:v>Avance 2026-08-20</x:v>
      </x:c>
      <x:c r="M5" s="8" t="str">
        <x:v>Candidato para primer avance por impacto y alcance acotado.</x:v>
      </x:c>
      <x:c r="N5" s="17"/>
      <x:c r="O5" s="12" t="str">
        <x:v>EN PROCESO</x:v>
      </x:c>
    </x:row>
    <x:row r="6" ht="15" hidden="0" customHeight="1">
      <x:c r="A6" s="7" t="str">
        <x:v>SIAJ-0002</x:v>
      </x:c>
      <x:c r="B6" s="7" t="str">
        <x:v>SAST</x:v>
      </x:c>
      <x:c r="C6" s="7" t="str">
        <x:v>HIGH</x:v>
      </x:c>
      <x:c r="D6" s="8" t="str">
        <x:v>Absolute_Path_Traversal 2/4</x:v>
      </x:c>
      <x:c r="E6" s="7" t="str">
        <x:v>Código fuente Java</x:v>
      </x:c>
      <x:c r="F6" s="7" t="str"/>
      <x:c r="G6" s="7" t="str">
        <x:v>CWE-36</x:v>
      </x:c>
      <x:c r="H6" s="7" t="str"/>
      <x:c r="I6" s="7" t="n">
        <x:v>11</x:v>
      </x:c>
      <x:c r="J6" s="9" t="str">
        <x:v>EN PROCESO</x:v>
      </x:c>
      <x:c r="K6" s="10" t="n">
        <x:v>46254</x:v>
      </x:c>
      <x:c r="L6" s="7" t="str">
        <x:v>Avance 2026-08-20</x:v>
      </x:c>
      <x:c r="M6" s="8" t="str">
        <x:v>Candidato para primer avance por impacto y alcance acotado.</x:v>
      </x:c>
      <x:c r="N6" s="17"/>
      <x:c r="O6" s="13" t="str">
        <x:v>PENDIENTE</x:v>
      </x:c>
    </x:row>
    <x:row r="7" ht="15" hidden="0" customHeight="1">
      <x:c r="A7" s="7" t="str">
        <x:v>SIAJ-0003</x:v>
      </x:c>
      <x:c r="B7" s="7" t="str">
        <x:v>SAST</x:v>
      </x:c>
      <x:c r="C7" s="7" t="str">
        <x:v>HIGH</x:v>
      </x:c>
      <x:c r="D7" s="8" t="str">
        <x:v>Absolute_Path_Traversal 3/4</x:v>
      </x:c>
      <x:c r="E7" s="7" t="str">
        <x:v>Código fuente Java</x:v>
      </x:c>
      <x:c r="F7" s="7" t="str"/>
      <x:c r="G7" s="7" t="str">
        <x:v>CWE-36</x:v>
      </x:c>
      <x:c r="H7" s="7" t="str"/>
      <x:c r="I7" s="7" t="n">
        <x:v>11</x:v>
      </x:c>
      <x:c r="J7" s="9" t="str">
        <x:v>EN PROCESO</x:v>
      </x:c>
      <x:c r="K7" s="10" t="n">
        <x:v>46254</x:v>
      </x:c>
      <x:c r="L7" s="7" t="str">
        <x:v>Avance 2026-08-20</x:v>
      </x:c>
      <x:c r="M7" s="8" t="str">
        <x:v>Candidato para primer avance por impacto y alcance acotado.</x:v>
      </x:c>
      <x:c r="N7" s="17"/>
      <x:c r="O7" s="17"/>
    </x:row>
    <x:row r="8" ht="15" hidden="0" customHeight="1">
      <x:c r="A8" s="7" t="str">
        <x:v>SIAJ-0004</x:v>
      </x:c>
      <x:c r="B8" s="7" t="str">
        <x:v>SAST</x:v>
      </x:c>
      <x:c r="C8" s="7" t="str">
        <x:v>HIGH</x:v>
      </x:c>
      <x:c r="D8" s="8" t="str">
        <x:v>Absolute_Path_Traversal 4/4</x:v>
      </x:c>
      <x:c r="E8" s="7" t="str">
        <x:v>Código fuente Java</x:v>
      </x:c>
      <x:c r="F8" s="7" t="str"/>
      <x:c r="G8" s="7" t="str">
        <x:v>CWE-36</x:v>
      </x:c>
      <x:c r="H8" s="7" t="str"/>
      <x:c r="I8" s="7" t="n">
        <x:v>11</x:v>
      </x:c>
      <x:c r="J8" s="9" t="str">
        <x:v>EN PROCESO</x:v>
      </x:c>
      <x:c r="K8" s="10" t="n">
        <x:v>46254</x:v>
      </x:c>
      <x:c r="L8" s="7" t="str">
        <x:v>Avance 2026-08-20</x:v>
      </x:c>
      <x:c r="M8" s="8" t="str">
        <x:v>Candidato para primer avance por impacto y alcance acotado.</x:v>
      </x:c>
      <x:c r="N8" s="17"/>
      <x:c r="O8" s="17"/>
    </x:row>
    <x:row r="9" ht="26.399999618530273" hidden="0" customHeight="1">
      <x:c r="A9" s="7" t="str">
        <x:v>SIAJ-0215</x:v>
      </x:c>
      <x:c r="B9" s="7" t="str">
        <x:v>SCA</x:v>
      </x:c>
      <x:c r="C9" s="7" t="str">
        <x:v>HIGH</x:v>
      </x:c>
      <x:c r="D9" s="8" t="str">
        <x:v>Dependencia xlsx-0.18.5</x:v>
      </x:c>
      <x:c r="E9" s="7" t="str">
        <x:v>xlsx</x:v>
      </x:c>
      <x:c r="F9" s="7" t="str">
        <x:v>0.18.5</x:v>
      </x:c>
      <x:c r="G9" s="7" t="str">
        <x:v>CWE-1333</x:v>
      </x:c>
      <x:c r="H9" s="7" t="str">
        <x:v>CVE-2024-22363</x:v>
      </x:c>
      <x:c r="I9" s="7" t="n">
        <x:v>116</x:v>
      </x:c>
      <x:c r="J9" s="9" t="str">
        <x:v>EN PROCESO</x:v>
      </x:c>
      <x:c r="K9" s="10" t="n">
        <x:v>46254</x:v>
      </x:c>
      <x:c r="L9" s="7" t="str">
        <x:v>Avance 2026-08-20</x:v>
      </x:c>
      <x:c r="M9" s="8" t="str">
        <x:v>Candidato para primer avance: actualización de dependencia acotada.</x:v>
      </x:c>
      <x:c r="N9" s="17"/>
      <x:c r="O9" s="17"/>
    </x:row>
    <x:row r="10" ht="26.399999618530273" hidden="0" customHeight="1">
      <x:c r="A10" s="7" t="str">
        <x:v>SIAJ-0216</x:v>
      </x:c>
      <x:c r="B10" s="7" t="str">
        <x:v>SCA</x:v>
      </x:c>
      <x:c r="C10" s="7" t="str">
        <x:v>HIGH</x:v>
      </x:c>
      <x:c r="D10" s="8" t="str">
        <x:v>Dependencia xlsx-0.18.5</x:v>
      </x:c>
      <x:c r="E10" s="7" t="str">
        <x:v>xlsx</x:v>
      </x:c>
      <x:c r="F10" s="7" t="str">
        <x:v>0.18.5</x:v>
      </x:c>
      <x:c r="G10" s="7" t="str">
        <x:v>CWE-1321</x:v>
      </x:c>
      <x:c r="H10" s="7" t="str">
        <x:v>CVE-2023-30533</x:v>
      </x:c>
      <x:c r="I10" s="7" t="n">
        <x:v>116</x:v>
      </x:c>
      <x:c r="J10" s="9" t="str">
        <x:v>EN PROCESO</x:v>
      </x:c>
      <x:c r="K10" s="10" t="n">
        <x:v>46254</x:v>
      </x:c>
      <x:c r="L10" s="7" t="str">
        <x:v>Avance 2026-08-20</x:v>
      </x:c>
      <x:c r="M10" s="8" t="str">
        <x:v>Candidato para primer avance: actualización de dependencia acotada.</x:v>
      </x:c>
      <x:c r="N10" s="17"/>
      <x:c r="O10" s="17"/>
    </x:row>
    <x:row r="11" ht="26.399999618530273" hidden="0" customHeight="1">
      <x:c r="A11" s="7" t="str">
        <x:v>SIAJ-0510</x:v>
      </x:c>
      <x:c r="B11" s="7" t="str">
        <x:v>SCS</x:v>
      </x:c>
      <x:c r="C11" s="7" t="str">
        <x:v>HIGH</x:v>
      </x:c>
      <x:c r="D11" s="8" t="str">
        <x:v>Secret Detection 1/3</x:v>
      </x:c>
      <x:c r="E11" s="7" t="str">
        <x:v>Configuración / secretos</x:v>
      </x:c>
      <x:c r="F11" s="7" t="str"/>
      <x:c r="G11" s="7" t="str">
        <x:v>Secret Detection</x:v>
      </x:c>
      <x:c r="H11" s="7" t="str"/>
      <x:c r="I11" s="7" t="n">
        <x:v>222</x:v>
      </x:c>
      <x:c r="J11" s="9" t="str">
        <x:v>EN PROCESO</x:v>
      </x:c>
      <x:c r="K11" s="10" t="n">
        <x:v>46254</x:v>
      </x:c>
      <x:c r="L11" s="7" t="str">
        <x:v>Avance 2026-08-20</x:v>
      </x:c>
      <x:c r="M11" s="8" t="str">
        <x:v>Validar si corresponde a secreto real, rotar si aplica y retirar del repositorio/configuración.</x:v>
      </x:c>
      <x:c r="N11" s="17"/>
      <x:c r="O11" s="17"/>
    </x:row>
    <x:row r="12" ht="26.399999618530273" hidden="0" customHeight="1">
      <x:c r="A12" s="7" t="str">
        <x:v>SIAJ-0511</x:v>
      </x:c>
      <x:c r="B12" s="7" t="str">
        <x:v>SCS</x:v>
      </x:c>
      <x:c r="C12" s="7" t="str">
        <x:v>HIGH</x:v>
      </x:c>
      <x:c r="D12" s="8" t="str">
        <x:v>Secret Detection 2/3</x:v>
      </x:c>
      <x:c r="E12" s="7" t="str">
        <x:v>Configuración / secretos</x:v>
      </x:c>
      <x:c r="F12" s="7" t="str"/>
      <x:c r="G12" s="7" t="str">
        <x:v>Secret Detection</x:v>
      </x:c>
      <x:c r="H12" s="7" t="str"/>
      <x:c r="I12" s="7" t="n">
        <x:v>222</x:v>
      </x:c>
      <x:c r="J12" s="9" t="str">
        <x:v>EN PROCESO</x:v>
      </x:c>
      <x:c r="K12" s="10" t="n">
        <x:v>46254</x:v>
      </x:c>
      <x:c r="L12" s="7" t="str">
        <x:v>Avance 2026-08-20</x:v>
      </x:c>
      <x:c r="M12" s="8" t="str">
        <x:v>Validar si corresponde a secreto real, rotar si aplica y retirar del repositorio/configuración.</x:v>
      </x:c>
      <x:c r="N12" s="17"/>
      <x:c r="O12" s="17"/>
    </x:row>
    <x:row r="13" ht="26.399999618530273" hidden="0" customHeight="1">
      <x:c r="A13" s="7" t="str">
        <x:v>SIAJ-0512</x:v>
      </x:c>
      <x:c r="B13" s="7" t="str">
        <x:v>SCS</x:v>
      </x:c>
      <x:c r="C13" s="7" t="str">
        <x:v>HIGH</x:v>
      </x:c>
      <x:c r="D13" s="8" t="str">
        <x:v>Secret Detection 3/3</x:v>
      </x:c>
      <x:c r="E13" s="7" t="str">
        <x:v>Configuración / secretos</x:v>
      </x:c>
      <x:c r="F13" s="7" t="str"/>
      <x:c r="G13" s="7" t="str">
        <x:v>Secret Detection</x:v>
      </x:c>
      <x:c r="H13" s="7" t="str"/>
      <x:c r="I13" s="7" t="n">
        <x:v>222</x:v>
      </x:c>
      <x:c r="J13" s="9" t="str">
        <x:v>EN PROCESO</x:v>
      </x:c>
      <x:c r="K13" s="10" t="n">
        <x:v>46254</x:v>
      </x:c>
      <x:c r="L13" s="7" t="str">
        <x:v>Avance 2026-08-20</x:v>
      </x:c>
      <x:c r="M13" s="8" t="str">
        <x:v>Validar si corresponde a secreto real, rotar si aplica y retirar del repositorio/configuración.</x:v>
      </x:c>
      <x:c r="N13" s="17"/>
      <x:c r="O13" s="17"/>
    </x:row>
    <x:row r="14" ht="15" hidden="0" customHeight="1">
      <x:c r="A14" s="7" t="str">
        <x:v>SIAJ-0465</x:v>
      </x:c>
      <x:c r="B14" s="7" t="str">
        <x:v>CONTAINER</x:v>
      </x:c>
      <x:c r="C14" s="7" t="str">
        <x:v>HIGH</x:v>
      </x:c>
      <x:c r="D14" s="8" t="str">
        <x:v>Contenedor acl-2.3.2-2</x:v>
      </x:c>
      <x:c r="E14" s="7" t="str">
        <x:v>acl</x:v>
      </x:c>
      <x:c r="F14" s="7" t="str">
        <x:v>2.3.2-2</x:v>
      </x:c>
      <x:c r="G14" s="7" t="str">
        <x:v>CWE-367</x:v>
      </x:c>
      <x:c r="H14" s="7" t="str">
        <x:v>CVE-2026-54370</x:v>
      </x:c>
      <x:c r="I14" s="7" t="n">
        <x:v>200</x:v>
      </x:c>
      <x:c r="J14" s="9" t="str">
        <x:v>PENDIENTE</x:v>
      </x:c>
      <x:c r="K14" s="10" t="n">
        <x:v>46341</x:v>
      </x:c>
      <x:c r="L14" s="7" t="str">
        <x:v>Avance 2026-11-15</x:v>
      </x:c>
      <x:c r="M14" s="8" t="str">
        <x:v>Actualizar imagen/base y validar compatibilidad en despliegue.</x:v>
      </x:c>
      <x:c r="N14" s="17"/>
      <x:c r="O14" s="17"/>
    </x:row>
    <x:row r="15" ht="15" hidden="0" customHeight="1">
      <x:c r="A15" s="7" t="str">
        <x:v>SIAJ-0466</x:v>
      </x:c>
      <x:c r="B15" s="7" t="str">
        <x:v>CONTAINER</x:v>
      </x:c>
      <x:c r="C15" s="7" t="str">
        <x:v>HIGH</x:v>
      </x:c>
      <x:c r="D15" s="8" t="str">
        <x:v>Contenedor acl-2.3.2-2</x:v>
      </x:c>
      <x:c r="E15" s="7" t="str">
        <x:v>acl</x:v>
      </x:c>
      <x:c r="F15" s="7" t="str">
        <x:v>2.3.2-2</x:v>
      </x:c>
      <x:c r="G15" s="7" t="str">
        <x:v>CWE-59</x:v>
      </x:c>
      <x:c r="H15" s="7" t="str">
        <x:v>CVE-2026-54369</x:v>
      </x:c>
      <x:c r="I15" s="7" t="n">
        <x:v>200</x:v>
      </x:c>
      <x:c r="J15" s="9" t="str">
        <x:v>PENDIENTE</x:v>
      </x:c>
      <x:c r="K15" s="10" t="n">
        <x:v>46341</x:v>
      </x:c>
      <x:c r="L15" s="7" t="str">
        <x:v>Avance 2026-11-15</x:v>
      </x:c>
      <x:c r="M15" s="8" t="str">
        <x:v>Actualizar imagen/base y validar compatibilidad en despliegue.</x:v>
      </x:c>
      <x:c r="N15" s="17"/>
      <x:c r="O15" s="17"/>
    </x:row>
    <x:row r="16" ht="15" hidden="0" customHeight="1">
      <x:c r="A16" s="7" t="str">
        <x:v>SIAJ-0467</x:v>
      </x:c>
      <x:c r="B16" s="7" t="str">
        <x:v>CONTAINER</x:v>
      </x:c>
      <x:c r="C16" s="7" t="str">
        <x:v>HIGH</x:v>
      </x:c>
      <x:c r="D16" s="8" t="str">
        <x:v>Contenedor attr-1:2.5.2-3</x:v>
      </x:c>
      <x:c r="E16" s="7" t="str">
        <x:v>attr</x:v>
      </x:c>
      <x:c r="F16" s="7" t="str">
        <x:v>1:2.5.2-3</x:v>
      </x:c>
      <x:c r="G16" s="7" t="str">
        <x:v>CWE-59</x:v>
      </x:c>
      <x:c r="H16" s="7" t="str">
        <x:v>CVE-2026-54371</x:v>
      </x:c>
      <x:c r="I16" s="7" t="n">
        <x:v>200</x:v>
      </x:c>
      <x:c r="J16" s="9" t="str">
        <x:v>PENDIENTE</x:v>
      </x:c>
      <x:c r="K16" s="10" t="n">
        <x:v>46341</x:v>
      </x:c>
      <x:c r="L16" s="7" t="str">
        <x:v>Avance 2026-11-15</x:v>
      </x:c>
      <x:c r="M16" s="8" t="str">
        <x:v>Actualizar imagen/base y validar compatibilidad en despliegue.</x:v>
      </x:c>
      <x:c r="N16" s="17"/>
      <x:c r="O16" s="17"/>
    </x:row>
    <x:row r="17" ht="15" hidden="0" customHeight="1">
      <x:c r="A17" s="7" t="str">
        <x:v>SIAJ-0424</x:v>
      </x:c>
      <x:c r="B17" s="7" t="str">
        <x:v>CONTAINER</x:v>
      </x:c>
      <x:c r="C17" s="7" t="str">
        <x:v>HIGH</x:v>
      </x:c>
      <x:c r="D17" s="8" t="str">
        <x:v>Contenedor coreutils-9.7-3</x:v>
      </x:c>
      <x:c r="E17" s="7" t="str">
        <x:v>coreutils</x:v>
      </x:c>
      <x:c r="F17" s="7" t="str">
        <x:v>9.7-3</x:v>
      </x:c>
      <x:c r="G17" s="7" t="str">
        <x:v>CWE-362</x:v>
      </x:c>
      <x:c r="H17" s="7" t="str">
        <x:v>CVE-2017-18018</x:v>
      </x:c>
      <x:c r="I17" s="7" t="n">
        <x:v>189</x:v>
      </x:c>
      <x:c r="J17" s="9" t="str">
        <x:v>PENDIENTE</x:v>
      </x:c>
      <x:c r="K17" s="10" t="n">
        <x:v>46341</x:v>
      </x:c>
      <x:c r="L17" s="7" t="str">
        <x:v>Avance 2026-11-15</x:v>
      </x:c>
      <x:c r="M17" s="8" t="str">
        <x:v>Actualizar imagen/base y validar compatibilidad en despliegue.</x:v>
      </x:c>
      <x:c r="N17" s="17"/>
      <x:c r="O17" s="17"/>
    </x:row>
    <x:row r="18" ht="15" hidden="0" customHeight="1">
      <x:c r="A18" s="7" t="str">
        <x:v>SIAJ-0471</x:v>
      </x:c>
      <x:c r="B18" s="7" t="str">
        <x:v>CONTAINER</x:v>
      </x:c>
      <x:c r="C18" s="7" t="str">
        <x:v>HIGH</x:v>
      </x:c>
      <x:c r="D18" s="8" t="str">
        <x:v>Contenedor glibc-2.41-12+deb13u3</x:v>
      </x:c>
      <x:c r="E18" s="7" t="str">
        <x:v>glibc</x:v>
      </x:c>
      <x:c r="F18" s="7" t="str">
        <x:v>2.41-12+deb13u3</x:v>
      </x:c>
      <x:c r="G18" s="7" t="str">
        <x:v>CWE-674</x:v>
      </x:c>
      <x:c r="H18" s="7" t="str">
        <x:v>CVE-2018-20796</x:v>
      </x:c>
      <x:c r="I18" s="7" t="n">
        <x:v>201</x:v>
      </x:c>
      <x:c r="J18" s="9" t="str">
        <x:v>PENDIENTE</x:v>
      </x:c>
      <x:c r="K18" s="10" t="n">
        <x:v>46341</x:v>
      </x:c>
      <x:c r="L18" s="7" t="str">
        <x:v>Avance 2026-11-15</x:v>
      </x:c>
      <x:c r="M18" s="8" t="str">
        <x:v>Actualizar imagen/base y validar compatibilidad en despliegue.</x:v>
      </x:c>
      <x:c r="N18" s="17"/>
      <x:c r="O18" s="17"/>
    </x:row>
    <x:row r="19" ht="15" hidden="0" customHeight="1">
      <x:c r="A19" s="7" t="str">
        <x:v>SIAJ-0472</x:v>
      </x:c>
      <x:c r="B19" s="7" t="str">
        <x:v>CONTAINER</x:v>
      </x:c>
      <x:c r="C19" s="7" t="str">
        <x:v>HIGH</x:v>
      </x:c>
      <x:c r="D19" s="8" t="str">
        <x:v>Contenedor glibc-2.41-12+deb13u3</x:v>
      </x:c>
      <x:c r="E19" s="7" t="str">
        <x:v>glibc</x:v>
      </x:c>
      <x:c r="F19" s="7" t="str">
        <x:v>2.41-12+deb13u3</x:v>
      </x:c>
      <x:c r="G19" s="7" t="str">
        <x:v>CWE-127</x:v>
      </x:c>
      <x:c r="H19" s="7" t="str">
        <x:v>CVE-2026-5928</x:v>
      </x:c>
      <x:c r="I19" s="7" t="n">
        <x:v>202</x:v>
      </x:c>
      <x:c r="J19" s="9" t="str">
        <x:v>PENDIENTE</x:v>
      </x:c>
      <x:c r="K19" s="10" t="n">
        <x:v>46341</x:v>
      </x:c>
      <x:c r="L19" s="7" t="str">
        <x:v>Avance 2026-11-15</x:v>
      </x:c>
      <x:c r="M19" s="8" t="str">
        <x:v>Actualizar imagen/base y validar compatibilidad en despliegue.</x:v>
      </x:c>
      <x:c r="N19" s="17"/>
      <x:c r="O19" s="17"/>
    </x:row>
    <x:row r="20" ht="15" hidden="0" customHeight="1">
      <x:c r="A20" s="7" t="str">
        <x:v>SIAJ-0473</x:v>
      </x:c>
      <x:c r="B20" s="7" t="str">
        <x:v>CONTAINER</x:v>
      </x:c>
      <x:c r="C20" s="7" t="str">
        <x:v>HIGH</x:v>
      </x:c>
      <x:c r="D20" s="8" t="str">
        <x:v>Contenedor glibc-2.41-12+deb13u3</x:v>
      </x:c>
      <x:c r="E20" s="7" t="str">
        <x:v>glibc</x:v>
      </x:c>
      <x:c r="F20" s="7" t="str">
        <x:v>2.41-12+deb13u3</x:v>
      </x:c>
      <x:c r="G20" s="7" t="str">
        <x:v>CWE-674</x:v>
      </x:c>
      <x:c r="H20" s="7" t="str">
        <x:v>CVE-2019-9192</x:v>
      </x:c>
      <x:c r="I20" s="7" t="n">
        <x:v>202</x:v>
      </x:c>
      <x:c r="J20" s="9" t="str">
        <x:v>PENDIENTE</x:v>
      </x:c>
      <x:c r="K20" s="10" t="n">
        <x:v>46341</x:v>
      </x:c>
      <x:c r="L20" s="7" t="str">
        <x:v>Avance 2026-11-15</x:v>
      </x:c>
      <x:c r="M20" s="8" t="str">
        <x:v>Actualizar imagen/base y validar compatibilidad en despliegue.</x:v>
      </x:c>
      <x:c r="N20" s="17"/>
      <x:c r="O20" s="17"/>
    </x:row>
    <x:row r="21" ht="15" hidden="0" customHeight="1">
      <x:c r="A21" s="7" t="str">
        <x:v>SIAJ-0474</x:v>
      </x:c>
      <x:c r="B21" s="7" t="str">
        <x:v>CONTAINER</x:v>
      </x:c>
      <x:c r="C21" s="7" t="str">
        <x:v>HIGH</x:v>
      </x:c>
      <x:c r="D21" s="8" t="str">
        <x:v>Contenedor glibc-2.41-12+deb13u3</x:v>
      </x:c>
      <x:c r="E21" s="7" t="str">
        <x:v>glibc</x:v>
      </x:c>
      <x:c r="F21" s="7" t="str">
        <x:v>2.41-12+deb13u3</x:v>
      </x:c>
      <x:c r="G21" s="7" t="str">
        <x:v>CWE-787</x:v>
      </x:c>
      <x:c r="H21" s="7" t="str">
        <x:v>CVE-2026-5435</x:v>
      </x:c>
      <x:c r="I21" s="7" t="n">
        <x:v>202</x:v>
      </x:c>
      <x:c r="J21" s="9" t="str">
        <x:v>PENDIENTE</x:v>
      </x:c>
      <x:c r="K21" s="10" t="n">
        <x:v>46341</x:v>
      </x:c>
      <x:c r="L21" s="7" t="str">
        <x:v>Avance 2026-11-15</x:v>
      </x:c>
      <x:c r="M21" s="8" t="str">
        <x:v>Actualizar imagen/base y validar compatibilidad en despliegue.</x:v>
      </x:c>
      <x:c r="N21" s="17"/>
      <x:c r="O21" s="17"/>
    </x:row>
    <x:row r="22" ht="15" hidden="0" customHeight="1">
      <x:c r="A22" s="7" t="str">
        <x:v>SIAJ-0495</x:v>
      </x:c>
      <x:c r="B22" s="7" t="str">
        <x:v>CONTAINER</x:v>
      </x:c>
      <x:c r="C22" s="7" t="str">
        <x:v>HIGH</x:v>
      </x:c>
      <x:c r="D22" s="8" t="str">
        <x:v>Contenedor gnupg2-2.4.7-21+deb13u1</x:v>
      </x:c>
      <x:c r="E22" s="7" t="str">
        <x:v>gnupg2</x:v>
      </x:c>
      <x:c r="F22" s="7" t="str">
        <x:v>2.4.7-21+deb13u1</x:v>
      </x:c>
      <x:c r="G22" s="7" t="str">
        <x:v>CWE-121</x:v>
      </x:c>
      <x:c r="H22" s="7" t="str">
        <x:v>CVE-2026-24882</x:v>
      </x:c>
      <x:c r="I22" s="7" t="n">
        <x:v>208</x:v>
      </x:c>
      <x:c r="J22" s="9" t="str">
        <x:v>PENDIENTE</x:v>
      </x:c>
      <x:c r="K22" s="10" t="n">
        <x:v>46341</x:v>
      </x:c>
      <x:c r="L22" s="7" t="str">
        <x:v>Avance 2026-11-15</x:v>
      </x:c>
      <x:c r="M22" s="8" t="str">
        <x:v>Actualizar imagen/base y validar compatibilidad en despliegue.</x:v>
      </x:c>
      <x:c r="N22" s="17"/>
      <x:c r="O22" s="17"/>
    </x:row>
    <x:row r="23" ht="15" hidden="0" customHeight="1">
      <x:c r="A23" s="7" t="str">
        <x:v>SIAJ-0380</x:v>
      </x:c>
      <x:c r="B23" s="7" t="str">
        <x:v>CONTAINER</x:v>
      </x:c>
      <x:c r="C23" s="7" t="str">
        <x:v>HIGH</x:v>
      </x:c>
      <x:c r="D23" s="8" t="str">
        <x:v>Contenedor golang-1.24-1.24.6</x:v>
      </x:c>
      <x:c r="E23" s="7" t="str">
        <x:v>golang-1.24</x:v>
      </x:c>
      <x:c r="F23" s="7" t="str">
        <x:v>1.24.6</x:v>
      </x:c>
      <x:c r="G23" s="7" t="str">
        <x:v>CWE-94</x:v>
      </x:c>
      <x:c r="H23" s="7" t="str">
        <x:v>CVE-2025-61732</x:v>
      </x:c>
      <x:c r="I23" s="7" t="n">
        <x:v>177</x:v>
      </x:c>
      <x:c r="J23" s="9" t="str">
        <x:v>PENDIENTE</x:v>
      </x:c>
      <x:c r="K23" s="10" t="n">
        <x:v>46341</x:v>
      </x:c>
      <x:c r="L23" s="7" t="str">
        <x:v>Avance 2026-11-15</x:v>
      </x:c>
      <x:c r="M23" s="8" t="str">
        <x:v>Actualizar imagen/base y validar compatibilidad en despliegue.</x:v>
      </x:c>
      <x:c r="N23" s="17"/>
      <x:c r="O23" s="17"/>
    </x:row>
    <x:row r="24" ht="15" hidden="0" customHeight="1">
      <x:c r="A24" s="7" t="str">
        <x:v>SIAJ-0381</x:v>
      </x:c>
      <x:c r="B24" s="7" t="str">
        <x:v>CONTAINER</x:v>
      </x:c>
      <x:c r="C24" s="7" t="str">
        <x:v>HIGH</x:v>
      </x:c>
      <x:c r="D24" s="8" t="str">
        <x:v>Contenedor golang-1.24-1.24.6</x:v>
      </x:c>
      <x:c r="E24" s="7" t="str">
        <x:v>golang-1.24</x:v>
      </x:c>
      <x:c r="F24" s="7" t="str">
        <x:v>1.24.6</x:v>
      </x:c>
      <x:c r="G24" s="7" t="str">
        <x:v>CWE-770</x:v>
      </x:c>
      <x:c r="H24" s="7" t="str">
        <x:v>CVE-2025-61723</x:v>
      </x:c>
      <x:c r="I24" s="7" t="n">
        <x:v>178</x:v>
      </x:c>
      <x:c r="J24" s="9" t="str">
        <x:v>PENDIENTE</x:v>
      </x:c>
      <x:c r="K24" s="10" t="n">
        <x:v>46341</x:v>
      </x:c>
      <x:c r="L24" s="7" t="str">
        <x:v>Avance 2026-11-15</x:v>
      </x:c>
      <x:c r="M24" s="8" t="str">
        <x:v>Actualizar imagen/base y validar compatibilidad en despliegue.</x:v>
      </x:c>
      <x:c r="N24" s="17"/>
      <x:c r="O24" s="17"/>
    </x:row>
    <x:row r="25" ht="15" hidden="0" customHeight="1">
      <x:c r="A25" s="7" t="str">
        <x:v>SIAJ-0382</x:v>
      </x:c>
      <x:c r="B25" s="7" t="str">
        <x:v>CONTAINER</x:v>
      </x:c>
      <x:c r="C25" s="7" t="str">
        <x:v>HIGH</x:v>
      </x:c>
      <x:c r="D25" s="8" t="str">
        <x:v>Contenedor golang-1.24-1.24.6</x:v>
      </x:c>
      <x:c r="E25" s="7" t="str">
        <x:v>golang-1.24</x:v>
      </x:c>
      <x:c r="F25" s="7" t="str">
        <x:v>1.24.6</x:v>
      </x:c>
      <x:c r="G25" s="7" t="str">
        <x:v>CWE-407</x:v>
      </x:c>
      <x:c r="H25" s="7" t="str">
        <x:v>CVE-2025-58187</x:v>
      </x:c>
      <x:c r="I25" s="7" t="n">
        <x:v>178</x:v>
      </x:c>
      <x:c r="J25" s="9" t="str">
        <x:v>PENDIENTE</x:v>
      </x:c>
      <x:c r="K25" s="10" t="n">
        <x:v>46341</x:v>
      </x:c>
      <x:c r="L25" s="7" t="str">
        <x:v>Avance 2026-11-15</x:v>
      </x:c>
      <x:c r="M25" s="8" t="str">
        <x:v>Actualizar imagen/base y validar compatibilidad en despliegue.</x:v>
      </x:c>
      <x:c r="N25" s="17"/>
      <x:c r="O25" s="17"/>
    </x:row>
    <x:row r="26" ht="15" hidden="0" customHeight="1">
      <x:c r="A26" s="7" t="str">
        <x:v>SIAJ-0383</x:v>
      </x:c>
      <x:c r="B26" s="7" t="str">
        <x:v>CONTAINER</x:v>
      </x:c>
      <x:c r="C26" s="7" t="str">
        <x:v>HIGH</x:v>
      </x:c>
      <x:c r="D26" s="8" t="str">
        <x:v>Contenedor golang-1.24-1.24.6</x:v>
      </x:c>
      <x:c r="E26" s="7" t="str">
        <x:v>golang-1.24</x:v>
      </x:c>
      <x:c r="F26" s="7" t="str">
        <x:v>1.24.6</x:v>
      </x:c>
      <x:c r="G26" s="7" t="str">
        <x:v>CWE-295</x:v>
      </x:c>
      <x:c r="H26" s="7" t="str">
        <x:v>CVE-2025-58188</x:v>
      </x:c>
      <x:c r="I26" s="7" t="n">
        <x:v>178</x:v>
      </x:c>
      <x:c r="J26" s="9" t="str">
        <x:v>PENDIENTE</x:v>
      </x:c>
      <x:c r="K26" s="10" t="n">
        <x:v>46341</x:v>
      </x:c>
      <x:c r="L26" s="7" t="str">
        <x:v>Avance 2026-11-15</x:v>
      </x:c>
      <x:c r="M26" s="8" t="str">
        <x:v>Actualizar imagen/base y validar compatibilidad en despliegue.</x:v>
      </x:c>
      <x:c r="N26" s="17"/>
      <x:c r="O26" s="17"/>
    </x:row>
    <x:row r="27" ht="15" hidden="0" customHeight="1">
      <x:c r="A27" s="7" t="str">
        <x:v>SIAJ-0384</x:v>
      </x:c>
      <x:c r="B27" s="7" t="str">
        <x:v>CONTAINER</x:v>
      </x:c>
      <x:c r="C27" s="7" t="str">
        <x:v>HIGH</x:v>
      </x:c>
      <x:c r="D27" s="8" t="str">
        <x:v>Contenedor golang-1.24-1.24.6</x:v>
      </x:c>
      <x:c r="E27" s="7" t="str">
        <x:v>golang-1.24</x:v>
      </x:c>
      <x:c r="F27" s="7" t="str">
        <x:v>1.24.6</x:v>
      </x:c>
      <x:c r="G27" s="7" t="str">
        <x:v>CWE-407</x:v>
      </x:c>
      <x:c r="H27" s="7" t="str">
        <x:v>CVE-2026-42504</x:v>
      </x:c>
      <x:c r="I27" s="7" t="n">
        <x:v>178</x:v>
      </x:c>
      <x:c r="J27" s="9" t="str">
        <x:v>PENDIENTE</x:v>
      </x:c>
      <x:c r="K27" s="10" t="n">
        <x:v>46341</x:v>
      </x:c>
      <x:c r="L27" s="7" t="str">
        <x:v>Avance 2026-11-15</x:v>
      </x:c>
      <x:c r="M27" s="8" t="str">
        <x:v>Actualizar imagen/base y validar compatibilidad en despliegue.</x:v>
      </x:c>
      <x:c r="N27" s="17"/>
      <x:c r="O27" s="17"/>
    </x:row>
    <x:row r="28" ht="15" hidden="0" customHeight="1">
      <x:c r="A28" s="7" t="str">
        <x:v>SIAJ-0385</x:v>
      </x:c>
      <x:c r="B28" s="7" t="str">
        <x:v>CONTAINER</x:v>
      </x:c>
      <x:c r="C28" s="7" t="str">
        <x:v>HIGH</x:v>
      </x:c>
      <x:c r="D28" s="8" t="str">
        <x:v>Contenedor golang-1.24-1.24.6</x:v>
      </x:c>
      <x:c r="E28" s="7" t="str">
        <x:v>golang-1.24</x:v>
      </x:c>
      <x:c r="F28" s="7" t="str">
        <x:v>1.24.6</x:v>
      </x:c>
      <x:c r="G28" s="7" t="str">
        <x:v>CWE-73</x:v>
      </x:c>
      <x:c r="H28" s="7" t="str">
        <x:v>CVE-2025-4674</x:v>
      </x:c>
      <x:c r="I28" s="7" t="n">
        <x:v>179</x:v>
      </x:c>
      <x:c r="J28" s="9" t="str">
        <x:v>PENDIENTE</x:v>
      </x:c>
      <x:c r="K28" s="10" t="n">
        <x:v>46341</x:v>
      </x:c>
      <x:c r="L28" s="7" t="str">
        <x:v>Avance 2026-11-15</x:v>
      </x:c>
      <x:c r="M28" s="8" t="str">
        <x:v>Actualizar imagen/base y validar compatibilidad en despliegue.</x:v>
      </x:c>
      <x:c r="N28" s="17"/>
      <x:c r="O28" s="17"/>
    </x:row>
    <x:row r="29" ht="15" hidden="0" customHeight="1">
      <x:c r="A29" s="7" t="str">
        <x:v>SIAJ-0386</x:v>
      </x:c>
      <x:c r="B29" s="7" t="str">
        <x:v>CONTAINER</x:v>
      </x:c>
      <x:c r="C29" s="7" t="str">
        <x:v>HIGH</x:v>
      </x:c>
      <x:c r="D29" s="8" t="str">
        <x:v>Contenedor golang-1.24-1.24.6</x:v>
      </x:c>
      <x:c r="E29" s="7" t="str">
        <x:v>golang-1.24</x:v>
      </x:c>
      <x:c r="F29" s="7" t="str">
        <x:v>1.24.6</x:v>
      </x:c>
      <x:c r="G29" s="7" t="str">
        <x:v>CWE-295</x:v>
      </x:c>
      <x:c r="H29" s="7" t="str">
        <x:v>CVE-2025-61729</x:v>
      </x:c>
      <x:c r="I29" s="7" t="n">
        <x:v>179</x:v>
      </x:c>
      <x:c r="J29" s="9" t="str">
        <x:v>PENDIENTE</x:v>
      </x:c>
      <x:c r="K29" s="10" t="n">
        <x:v>46371</x:v>
      </x:c>
      <x:c r="L29" s="7" t="str">
        <x:v>Avance 2026-12-15</x:v>
      </x:c>
      <x:c r="M29" s="8" t="str">
        <x:v>Actualizar imagen/base y validar compatibilidad en despliegue.</x:v>
      </x:c>
      <x:c r="N29" s="17"/>
      <x:c r="O29" s="17"/>
    </x:row>
    <x:row r="30" ht="15" hidden="0" customHeight="1">
      <x:c r="A30" s="7" t="str">
        <x:v>SIAJ-0387</x:v>
      </x:c>
      <x:c r="B30" s="7" t="str">
        <x:v>CONTAINER</x:v>
      </x:c>
      <x:c r="C30" s="7" t="str">
        <x:v>HIGH</x:v>
      </x:c>
      <x:c r="D30" s="8" t="str">
        <x:v>Contenedor golang-1.24-1.24.6</x:v>
      </x:c>
      <x:c r="E30" s="7" t="str">
        <x:v>golang-1.24</x:v>
      </x:c>
      <x:c r="F30" s="7" t="str">
        <x:v>1.24.6</x:v>
      </x:c>
      <x:c r="G30" s="7" t="str">
        <x:v>CWE-362</x:v>
      </x:c>
      <x:c r="H30" s="7" t="str">
        <x:v>CVE-2025-47907</x:v>
      </x:c>
      <x:c r="I30" s="7" t="n">
        <x:v>179</x:v>
      </x:c>
      <x:c r="J30" s="9" t="str">
        <x:v>PENDIENTE</x:v>
      </x:c>
      <x:c r="K30" s="10" t="n">
        <x:v>46371</x:v>
      </x:c>
      <x:c r="L30" s="7" t="str">
        <x:v>Avance 2026-12-15</x:v>
      </x:c>
      <x:c r="M30" s="8" t="str">
        <x:v>Actualizar imagen/base y validar compatibilidad en despliegue.</x:v>
      </x:c>
      <x:c r="N30" s="17"/>
      <x:c r="O30" s="17"/>
    </x:row>
    <x:row r="31" ht="15" hidden="0" customHeight="1">
      <x:c r="A31" s="7" t="str">
        <x:v>SIAJ-0388</x:v>
      </x:c>
      <x:c r="B31" s="7" t="str">
        <x:v>CONTAINER</x:v>
      </x:c>
      <x:c r="C31" s="7" t="str">
        <x:v>HIGH</x:v>
      </x:c>
      <x:c r="D31" s="8" t="str">
        <x:v>Contenedor golang-1.24-1.24.6</x:v>
      </x:c>
      <x:c r="E31" s="7" t="str">
        <x:v>golang-1.24</x:v>
      </x:c>
      <x:c r="F31" s="7" t="str">
        <x:v>1.24.6</x:v>
      </x:c>
      <x:c r="G31" s="7" t="str"/>
      <x:c r="H31" s="7" t="str">
        <x:v>CVE-2025-61725</x:v>
      </x:c>
      <x:c r="I31" s="7" t="n">
        <x:v>180</x:v>
      </x:c>
      <x:c r="J31" s="9" t="str">
        <x:v>PENDIENTE</x:v>
      </x:c>
      <x:c r="K31" s="10" t="n">
        <x:v>46371</x:v>
      </x:c>
      <x:c r="L31" s="7" t="str">
        <x:v>Avance 2026-12-15</x:v>
      </x:c>
      <x:c r="M31" s="8" t="str">
        <x:v>Actualizar imagen/base y validar compatibilidad en despliegue.</x:v>
      </x:c>
      <x:c r="N31" s="17"/>
      <x:c r="O31" s="17"/>
    </x:row>
    <x:row r="32" ht="15" hidden="0" customHeight="1">
      <x:c r="A32" s="7" t="str">
        <x:v>SIAJ-0389</x:v>
      </x:c>
      <x:c r="B32" s="7" t="str">
        <x:v>CONTAINER</x:v>
      </x:c>
      <x:c r="C32" s="7" t="str">
        <x:v>HIGH</x:v>
      </x:c>
      <x:c r="D32" s="8" t="str">
        <x:v>Contenedor golang-1.24-1.24.6</x:v>
      </x:c>
      <x:c r="E32" s="7" t="str">
        <x:v>golang-1.24</x:v>
      </x:c>
      <x:c r="F32" s="7" t="str">
        <x:v>1.24.6</x:v>
      </x:c>
      <x:c r="G32" s="7" t="str">
        <x:v>CWE-770</x:v>
      </x:c>
      <x:c r="H32" s="7" t="str">
        <x:v>CVE-2025-61726</x:v>
      </x:c>
      <x:c r="I32" s="7" t="n">
        <x:v>180</x:v>
      </x:c>
      <x:c r="J32" s="9" t="str">
        <x:v>PENDIENTE</x:v>
      </x:c>
      <x:c r="K32" s="10" t="n">
        <x:v>46371</x:v>
      </x:c>
      <x:c r="L32" s="7" t="str">
        <x:v>Avance 2026-12-15</x:v>
      </x:c>
      <x:c r="M32" s="8" t="str">
        <x:v>Actualizar imagen/base y validar compatibilidad en despliegue.</x:v>
      </x:c>
      <x:c r="N32" s="17"/>
      <x:c r="O32" s="17"/>
    </x:row>
    <x:row r="33" ht="15" hidden="0" customHeight="1">
      <x:c r="A33" s="7" t="str">
        <x:v>SIAJ-0390</x:v>
      </x:c>
      <x:c r="B33" s="7" t="str">
        <x:v>CONTAINER</x:v>
      </x:c>
      <x:c r="C33" s="7" t="str">
        <x:v>HIGH</x:v>
      </x:c>
      <x:c r="D33" s="8" t="str">
        <x:v>Contenedor golang-1.24-1.24.6</x:v>
      </x:c>
      <x:c r="E33" s="7" t="str">
        <x:v>golang-1.24</x:v>
      </x:c>
      <x:c r="F33" s="7" t="str">
        <x:v>1.24.6</x:v>
      </x:c>
      <x:c r="G33" s="7" t="str">
        <x:v>NVD-CWE-noinfo</x:v>
      </x:c>
      <x:c r="H33" s="7" t="str">
        <x:v>CVE-2025-61731</x:v>
      </x:c>
      <x:c r="I33" s="7" t="n">
        <x:v>180</x:v>
      </x:c>
      <x:c r="J33" s="9" t="str">
        <x:v>PENDIENTE</x:v>
      </x:c>
      <x:c r="K33" s="10" t="n">
        <x:v>46371</x:v>
      </x:c>
      <x:c r="L33" s="7" t="str">
        <x:v>Avance 2026-12-15</x:v>
      </x:c>
      <x:c r="M33" s="8" t="str">
        <x:v>Actualizar imagen/base y validar compatibilidad en despliegue.</x:v>
      </x:c>
      <x:c r="N33" s="17"/>
      <x:c r="O33" s="17"/>
    </x:row>
    <x:row r="34" ht="15" hidden="0" customHeight="1">
      <x:c r="A34" s="7" t="str">
        <x:v>SIAJ-0391</x:v>
      </x:c>
      <x:c r="B34" s="7" t="str">
        <x:v>CONTAINER</x:v>
      </x:c>
      <x:c r="C34" s="7" t="str">
        <x:v>HIGH</x:v>
      </x:c>
      <x:c r="D34" s="8" t="str">
        <x:v>Contenedor golang-1.24-1.24.6</x:v>
      </x:c>
      <x:c r="E34" s="7" t="str">
        <x:v>golang-1.24</x:v>
      </x:c>
      <x:c r="F34" s="7" t="str">
        <x:v>1.24.6</x:v>
      </x:c>
      <x:c r="G34" s="7" t="str">
        <x:v>CWE-787</x:v>
      </x:c>
      <x:c r="H34" s="7" t="str">
        <x:v>CVE-2025-68119</x:v>
      </x:c>
      <x:c r="I34" s="7" t="n">
        <x:v>180</x:v>
      </x:c>
      <x:c r="J34" s="9" t="str">
        <x:v>PENDIENTE</x:v>
      </x:c>
      <x:c r="K34" s="10" t="n">
        <x:v>46371</x:v>
      </x:c>
      <x:c r="L34" s="7" t="str">
        <x:v>Avance 2026-12-15</x:v>
      </x:c>
      <x:c r="M34" s="8" t="str">
        <x:v>Actualizar imagen/base y validar compatibilidad en despliegue.</x:v>
      </x:c>
      <x:c r="N34" s="17"/>
      <x:c r="O34" s="17"/>
    </x:row>
    <x:row r="35" ht="15" hidden="0" customHeight="1">
      <x:c r="A35" s="7" t="str">
        <x:v>SIAJ-0392</x:v>
      </x:c>
      <x:c r="B35" s="7" t="str">
        <x:v>CONTAINER</x:v>
      </x:c>
      <x:c r="C35" s="7" t="str">
        <x:v>HIGH</x:v>
      </x:c>
      <x:c r="D35" s="8" t="str">
        <x:v>Contenedor golang-1.24-1.24.6</x:v>
      </x:c>
      <x:c r="E35" s="7" t="str">
        <x:v>golang-1.24</x:v>
      </x:c>
      <x:c r="F35" s="7" t="str">
        <x:v>1.24.6</x:v>
      </x:c>
      <x:c r="G35" s="7" t="str">
        <x:v>CWE-61</x:v>
      </x:c>
      <x:c r="H35" s="7" t="str">
        <x:v>CVE-2026-39822</x:v>
      </x:c>
      <x:c r="I35" s="7" t="n">
        <x:v>181</x:v>
      </x:c>
      <x:c r="J35" s="9" t="str">
        <x:v>PENDIENTE</x:v>
      </x:c>
      <x:c r="K35" s="10" t="n">
        <x:v>46371</x:v>
      </x:c>
      <x:c r="L35" s="7" t="str">
        <x:v>Avance 2026-12-15</x:v>
      </x:c>
      <x:c r="M35" s="8" t="str">
        <x:v>Actualizar imagen/base y validar compatibilidad en despliegue.</x:v>
      </x:c>
      <x:c r="N35" s="17"/>
      <x:c r="O35" s="17"/>
    </x:row>
    <x:row r="36" ht="15" hidden="0" customHeight="1">
      <x:c r="A36" s="7" t="str">
        <x:v>SIAJ-0393</x:v>
      </x:c>
      <x:c r="B36" s="7" t="str">
        <x:v>CONTAINER</x:v>
      </x:c>
      <x:c r="C36" s="7" t="str">
        <x:v>HIGH</x:v>
      </x:c>
      <x:c r="D36" s="8" t="str">
        <x:v>Contenedor golang-1.24-1.24.6</x:v>
      </x:c>
      <x:c r="E36" s="7" t="str">
        <x:v>golang-1.24</x:v>
      </x:c>
      <x:c r="F36" s="7" t="str">
        <x:v>1.24.6</x:v>
      </x:c>
      <x:c r="G36" s="7" t="str">
        <x:v>CWE-770</x:v>
      </x:c>
      <x:c r="H36" s="7" t="str">
        <x:v>CVE-2026-32283</x:v>
      </x:c>
      <x:c r="I36" s="7" t="n">
        <x:v>181</x:v>
      </x:c>
      <x:c r="J36" s="9" t="str">
        <x:v>PENDIENTE</x:v>
      </x:c>
      <x:c r="K36" s="10" t="n">
        <x:v>46371</x:v>
      </x:c>
      <x:c r="L36" s="7" t="str">
        <x:v>Avance 2026-12-15</x:v>
      </x:c>
      <x:c r="M36" s="8" t="str">
        <x:v>Actualizar imagen/base y validar compatibilidad en despliegue.</x:v>
      </x:c>
      <x:c r="N36" s="17"/>
      <x:c r="O36" s="17"/>
    </x:row>
    <x:row r="37" ht="15" hidden="0" customHeight="1">
      <x:c r="A37" s="7" t="str">
        <x:v>SIAJ-0394</x:v>
      </x:c>
      <x:c r="B37" s="7" t="str">
        <x:v>CONTAINER</x:v>
      </x:c>
      <x:c r="C37" s="7" t="str">
        <x:v>HIGH</x:v>
      </x:c>
      <x:c r="D37" s="8" t="str">
        <x:v>Contenedor golang-1.24-1.24.6</x:v>
      </x:c>
      <x:c r="E37" s="7" t="str">
        <x:v>golang-1.24</x:v>
      </x:c>
      <x:c r="F37" s="7" t="str">
        <x:v>1.24.6</x:v>
      </x:c>
      <x:c r="G37" s="7" t="str">
        <x:v>CWE-295</x:v>
      </x:c>
      <x:c r="H37" s="7" t="str">
        <x:v>CVE-2026-32281</x:v>
      </x:c>
      <x:c r="I37" s="7" t="n">
        <x:v>181</x:v>
      </x:c>
      <x:c r="J37" s="9" t="str">
        <x:v>PENDIENTE</x:v>
      </x:c>
      <x:c r="K37" s="10" t="n">
        <x:v>46371</x:v>
      </x:c>
      <x:c r="L37" s="7" t="str">
        <x:v>Avance 2026-12-15</x:v>
      </x:c>
      <x:c r="M37" s="8" t="str">
        <x:v>Actualizar imagen/base y validar compatibilidad en despliegue.</x:v>
      </x:c>
      <x:c r="N37" s="17"/>
      <x:c r="O37" s="17"/>
    </x:row>
    <x:row r="38" ht="15" hidden="0" customHeight="1">
      <x:c r="A38" s="7" t="str">
        <x:v>SIAJ-0395</x:v>
      </x:c>
      <x:c r="B38" s="7" t="str">
        <x:v>CONTAINER</x:v>
      </x:c>
      <x:c r="C38" s="7" t="str">
        <x:v>HIGH</x:v>
      </x:c>
      <x:c r="D38" s="8" t="str">
        <x:v>Contenedor golang-1.24-1.24.6</x:v>
      </x:c>
      <x:c r="E38" s="7" t="str">
        <x:v>golang-1.24</x:v>
      </x:c>
      <x:c r="F38" s="7" t="str">
        <x:v>1.24.6</x:v>
      </x:c>
      <x:c r="G38" s="7" t="str">
        <x:v>CWE-770</x:v>
      </x:c>
      <x:c r="H38" s="7" t="str">
        <x:v>CVE-2026-32280</x:v>
      </x:c>
      <x:c r="I38" s="7" t="n">
        <x:v>181</x:v>
      </x:c>
      <x:c r="J38" s="9" t="str">
        <x:v>PENDIENTE</x:v>
      </x:c>
      <x:c r="K38" s="10" t="n">
        <x:v>46371</x:v>
      </x:c>
      <x:c r="L38" s="7" t="str">
        <x:v>Avance 2026-12-15</x:v>
      </x:c>
      <x:c r="M38" s="8" t="str">
        <x:v>Actualizar imagen/base y validar compatibilidad en despliegue.</x:v>
      </x:c>
      <x:c r="N38" s="17"/>
      <x:c r="O38" s="17"/>
    </x:row>
    <x:row r="39" ht="15" hidden="0" customHeight="1">
      <x:c r="A39" s="7" t="str">
        <x:v>SIAJ-0396</x:v>
      </x:c>
      <x:c r="B39" s="7" t="str">
        <x:v>CONTAINER</x:v>
      </x:c>
      <x:c r="C39" s="7" t="str">
        <x:v>HIGH</x:v>
      </x:c>
      <x:c r="D39" s="8" t="str">
        <x:v>Contenedor golang-1.24-1.24.6</x:v>
      </x:c>
      <x:c r="E39" s="7" t="str">
        <x:v>golang-1.24</x:v>
      </x:c>
      <x:c r="F39" s="7" t="str">
        <x:v>1.24.6</x:v>
      </x:c>
      <x:c r="G39" s="7" t="str">
        <x:v>CWE-843</x:v>
      </x:c>
      <x:c r="H39" s="7" t="str">
        <x:v>CVE-2026-27144</x:v>
      </x:c>
      <x:c r="I39" s="7" t="n">
        <x:v>182</x:v>
      </x:c>
      <x:c r="J39" s="9" t="str">
        <x:v>PENDIENTE</x:v>
      </x:c>
      <x:c r="K39" s="10" t="n">
        <x:v>46371</x:v>
      </x:c>
      <x:c r="L39" s="7" t="str">
        <x:v>Avance 2026-12-15</x:v>
      </x:c>
      <x:c r="M39" s="8" t="str">
        <x:v>Actualizar imagen/base y validar compatibilidad en despliegue.</x:v>
      </x:c>
      <x:c r="N39" s="17"/>
      <x:c r="O39" s="17"/>
    </x:row>
    <x:row r="40" ht="15" hidden="0" customHeight="1">
      <x:c r="A40" s="7" t="str">
        <x:v>SIAJ-0397</x:v>
      </x:c>
      <x:c r="B40" s="7" t="str">
        <x:v>CONTAINER</x:v>
      </x:c>
      <x:c r="C40" s="7" t="str">
        <x:v>HIGH</x:v>
      </x:c>
      <x:c r="D40" s="8" t="str">
        <x:v>Contenedor golang-1.24-1.24.6</x:v>
      </x:c>
      <x:c r="E40" s="7" t="str">
        <x:v>golang-1.24</x:v>
      </x:c>
      <x:c r="F40" s="7" t="str">
        <x:v>1.24.6</x:v>
      </x:c>
      <x:c r="G40" s="7" t="str">
        <x:v>CWE-863</x:v>
      </x:c>
      <x:c r="H40" s="7" t="str">
        <x:v>CVE-2026-27140</x:v>
      </x:c>
      <x:c r="I40" s="7" t="n">
        <x:v>182</x:v>
      </x:c>
      <x:c r="J40" s="9" t="str">
        <x:v>PENDIENTE</x:v>
      </x:c>
      <x:c r="K40" s="10" t="n">
        <x:v>46371</x:v>
      </x:c>
      <x:c r="L40" s="7" t="str">
        <x:v>Avance 2026-12-15</x:v>
      </x:c>
      <x:c r="M40" s="8" t="str">
        <x:v>Actualizar imagen/base y validar compatibilidad en despliegue.</x:v>
      </x:c>
      <x:c r="N40" s="17"/>
      <x:c r="O40" s="17"/>
    </x:row>
    <x:row r="41" ht="15" hidden="0" customHeight="1">
      <x:c r="A41" s="7" t="str">
        <x:v>SIAJ-0398</x:v>
      </x:c>
      <x:c r="B41" s="7" t="str">
        <x:v>CONTAINER</x:v>
      </x:c>
      <x:c r="C41" s="7" t="str">
        <x:v>HIGH</x:v>
      </x:c>
      <x:c r="D41" s="8" t="str">
        <x:v>Contenedor golang-1.24-1.24.6</x:v>
      </x:c>
      <x:c r="E41" s="7" t="str">
        <x:v>golang-1.24</x:v>
      </x:c>
      <x:c r="F41" s="7" t="str">
        <x:v>1.24.6</x:v>
      </x:c>
      <x:c r="G41" s="7" t="str">
        <x:v>CWE-347</x:v>
      </x:c>
      <x:c r="H41" s="7" t="str">
        <x:v>CVE-2026-42501</x:v>
      </x:c>
      <x:c r="I41" s="7" t="n">
        <x:v>182</x:v>
      </x:c>
      <x:c r="J41" s="9" t="str">
        <x:v>PENDIENTE</x:v>
      </x:c>
      <x:c r="K41" s="10" t="n">
        <x:v>46371</x:v>
      </x:c>
      <x:c r="L41" s="7" t="str">
        <x:v>Avance 2026-12-15</x:v>
      </x:c>
      <x:c r="M41" s="8" t="str">
        <x:v>Actualizar imagen/base y validar compatibilidad en despliegue.</x:v>
      </x:c>
      <x:c r="N41" s="17"/>
      <x:c r="O41" s="17"/>
    </x:row>
    <x:row r="42" ht="15" hidden="0" customHeight="1">
      <x:c r="A42" s="7" t="str">
        <x:v>SIAJ-0399</x:v>
      </x:c>
      <x:c r="B42" s="7" t="str">
        <x:v>CONTAINER</x:v>
      </x:c>
      <x:c r="C42" s="7" t="str">
        <x:v>HIGH</x:v>
      </x:c>
      <x:c r="D42" s="8" t="str">
        <x:v>Contenedor golang-1.24-1.24.6</x:v>
      </x:c>
      <x:c r="E42" s="7" t="str">
        <x:v>golang-1.24</x:v>
      </x:c>
      <x:c r="F42" s="7" t="str">
        <x:v>1.24.6</x:v>
      </x:c>
      <x:c r="G42" s="7" t="str">
        <x:v>NVD-CWE-noinfo</x:v>
      </x:c>
      <x:c r="H42" s="7" t="str">
        <x:v>CVE-2026-42499</x:v>
      </x:c>
      <x:c r="I42" s="7" t="n">
        <x:v>182</x:v>
      </x:c>
      <x:c r="J42" s="9" t="str">
        <x:v>PENDIENTE</x:v>
      </x:c>
      <x:c r="K42" s="10" t="n">
        <x:v>46371</x:v>
      </x:c>
      <x:c r="L42" s="7" t="str">
        <x:v>Avance 2026-12-15</x:v>
      </x:c>
      <x:c r="M42" s="8" t="str">
        <x:v>Actualizar imagen/base y validar compatibilidad en despliegue.</x:v>
      </x:c>
      <x:c r="N42" s="17"/>
      <x:c r="O42" s="17"/>
    </x:row>
    <x:row r="43" ht="15" hidden="0" customHeight="1">
      <x:c r="A43" s="7" t="str">
        <x:v>SIAJ-0400</x:v>
      </x:c>
      <x:c r="B43" s="7" t="str">
        <x:v>CONTAINER</x:v>
      </x:c>
      <x:c r="C43" s="7" t="str">
        <x:v>HIGH</x:v>
      </x:c>
      <x:c r="D43" s="8" t="str">
        <x:v>Contenedor golang-1.24-1.24.6</x:v>
      </x:c>
      <x:c r="E43" s="7" t="str">
        <x:v>golang-1.24</x:v>
      </x:c>
      <x:c r="F43" s="7" t="str">
        <x:v>1.24.6</x:v>
      </x:c>
      <x:c r="G43" s="7" t="str">
        <x:v>CWE-770</x:v>
      </x:c>
      <x:c r="H43" s="7" t="str">
        <x:v>CVE-2026-39820</x:v>
      </x:c>
      <x:c r="I43" s="7" t="n">
        <x:v>183</x:v>
      </x:c>
      <x:c r="J43" s="9" t="str">
        <x:v>PENDIENTE</x:v>
      </x:c>
      <x:c r="K43" s="10" t="n">
        <x:v>46371</x:v>
      </x:c>
      <x:c r="L43" s="7" t="str">
        <x:v>Avance 2026-12-15</x:v>
      </x:c>
      <x:c r="M43" s="8" t="str">
        <x:v>Actualizar imagen/base y validar compatibilidad en despliegue.</x:v>
      </x:c>
      <x:c r="N43" s="17"/>
      <x:c r="O43" s="17"/>
    </x:row>
    <x:row r="44" ht="15" hidden="0" customHeight="1">
      <x:c r="A44" s="7" t="str">
        <x:v>SIAJ-0401</x:v>
      </x:c>
      <x:c r="B44" s="7" t="str">
        <x:v>CONTAINER</x:v>
      </x:c>
      <x:c r="C44" s="7" t="str">
        <x:v>HIGH</x:v>
      </x:c>
      <x:c r="D44" s="8" t="str">
        <x:v>Contenedor golang-1.24-1.24.6</x:v>
      </x:c>
      <x:c r="E44" s="7" t="str">
        <x:v>golang-1.24</x:v>
      </x:c>
      <x:c r="F44" s="7" t="str">
        <x:v>1.24.6</x:v>
      </x:c>
      <x:c r="G44" s="7" t="str">
        <x:v>CWE-415</x:v>
      </x:c>
      <x:c r="H44" s="7" t="str">
        <x:v>CVE-2026-33811</x:v>
      </x:c>
      <x:c r="I44" s="7" t="n">
        <x:v>183</x:v>
      </x:c>
      <x:c r="J44" s="9" t="str">
        <x:v>PENDIENTE</x:v>
      </x:c>
      <x:c r="K44" s="10" t="n">
        <x:v>46371</x:v>
      </x:c>
      <x:c r="L44" s="7" t="str">
        <x:v>Avance 2026-12-15</x:v>
      </x:c>
      <x:c r="M44" s="8" t="str">
        <x:v>Actualizar imagen/base y validar compatibilidad en despliegue.</x:v>
      </x:c>
      <x:c r="N44" s="17"/>
      <x:c r="O44" s="17"/>
    </x:row>
    <x:row r="45" ht="15" hidden="0" customHeight="1">
      <x:c r="A45" s="7" t="str">
        <x:v>SIAJ-0498</x:v>
      </x:c>
      <x:c r="B45" s="7" t="str">
        <x:v>CONTAINER</x:v>
      </x:c>
      <x:c r="C45" s="7" t="str">
        <x:v>HIGH</x:v>
      </x:c>
      <x:c r="D45" s="8" t="str">
        <x:v>Contenedor krb5-1.21.3-5+deb13u1</x:v>
      </x:c>
      <x:c r="E45" s="7" t="str">
        <x:v>krb5</x:v>
      </x:c>
      <x:c r="F45" s="7" t="str">
        <x:v>1.21.3-5+deb13u1</x:v>
      </x:c>
      <x:c r="G45" s="7" t="str">
        <x:v>CWE-190</x:v>
      </x:c>
      <x:c r="H45" s="7" t="str">
        <x:v>CVE-2018-5709</x:v>
      </x:c>
      <x:c r="I45" s="7" t="n">
        <x:v>209</x:v>
      </x:c>
      <x:c r="J45" s="9" t="str">
        <x:v>PENDIENTE</x:v>
      </x:c>
      <x:c r="K45" s="10" t="n">
        <x:v>46371</x:v>
      </x:c>
      <x:c r="L45" s="7" t="str">
        <x:v>Avance 2026-12-15</x:v>
      </x:c>
      <x:c r="M45" s="8" t="str">
        <x:v>Actualizar imagen/base y validar compatibilidad en despliegue.</x:v>
      </x:c>
      <x:c r="N45" s="17"/>
      <x:c r="O45" s="17"/>
    </x:row>
    <x:row r="46" ht="15" hidden="0" customHeight="1">
      <x:c r="A46" s="7" t="str">
        <x:v>SIAJ-0499</x:v>
      </x:c>
      <x:c r="B46" s="7" t="str">
        <x:v>CONTAINER</x:v>
      </x:c>
      <x:c r="C46" s="7" t="str">
        <x:v>HIGH</x:v>
      </x:c>
      <x:c r="D46" s="8" t="str">
        <x:v>Contenedor krb5-1.21.3-5+deb13u1</x:v>
      </x:c>
      <x:c r="E46" s="7" t="str">
        <x:v>krb5</x:v>
      </x:c>
      <x:c r="F46" s="7" t="str">
        <x:v>1.21.3-5+deb13u1</x:v>
      </x:c>
      <x:c r="G46" s="7" t="str">
        <x:v>CWE-770</x:v>
      </x:c>
      <x:c r="H46" s="7" t="str">
        <x:v>CVE-2024-26461</x:v>
      </x:c>
      <x:c r="I46" s="7" t="n">
        <x:v>209</x:v>
      </x:c>
      <x:c r="J46" s="9" t="str">
        <x:v>PENDIENTE</x:v>
      </x:c>
      <x:c r="K46" s="10" t="n">
        <x:v>46371</x:v>
      </x:c>
      <x:c r="L46" s="7" t="str">
        <x:v>Avance 2026-12-15</x:v>
      </x:c>
      <x:c r="M46" s="8" t="str">
        <x:v>Actualizar imagen/base y validar compatibilidad en despliegue.</x:v>
      </x:c>
      <x:c r="N46" s="17"/>
      <x:c r="O46" s="17"/>
    </x:row>
    <x:row r="47" ht="15" hidden="0" customHeight="1">
      <x:c r="A47" s="7" t="str">
        <x:v>SIAJ-0433</x:v>
      </x:c>
      <x:c r="B47" s="7" t="str">
        <x:v>CONTAINER</x:v>
      </x:c>
      <x:c r="C47" s="7" t="str">
        <x:v>HIGH</x:v>
      </x:c>
      <x:c r="D47" s="8" t="str">
        <x:v>Contenedor libgcrypt20-1.11.0-7+deb13u1</x:v>
      </x:c>
      <x:c r="E47" s="7" t="str">
        <x:v>libgcrypt20</x:v>
      </x:c>
      <x:c r="F47" s="7" t="str">
        <x:v>1.11.0-7+deb13u1</x:v>
      </x:c>
      <x:c r="G47" s="7" t="str">
        <x:v>CWE-327</x:v>
      </x:c>
      <x:c r="H47" s="7" t="str">
        <x:v>CVE-2018-6829</x:v>
      </x:c>
      <x:c r="I47" s="7" t="n">
        <x:v>191</x:v>
      </x:c>
      <x:c r="J47" s="9" t="str">
        <x:v>PENDIENTE</x:v>
      </x:c>
      <x:c r="K47" s="10" t="n">
        <x:v>46402</x:v>
      </x:c>
      <x:c r="L47" s="7" t="str">
        <x:v>Avance 2027-01-15</x:v>
      </x:c>
      <x:c r="M47" s="8" t="str">
        <x:v>Actualizar imagen/base y validar compatibilidad en despliegue.</x:v>
      </x:c>
      <x:c r="N47" s="17"/>
      <x:c r="O47" s="17"/>
    </x:row>
    <x:row r="48" ht="15" hidden="0" customHeight="1">
      <x:c r="A48" s="7" t="str">
        <x:v>SIAJ-0435</x:v>
      </x:c>
      <x:c r="B48" s="7" t="str">
        <x:v>CONTAINER</x:v>
      </x:c>
      <x:c r="C48" s="7" t="str">
        <x:v>HIGH</x:v>
      </x:c>
      <x:c r="D48" s="8" t="str">
        <x:v>Contenedor libtasn1-6-4.20.0-2+deb13u1</x:v>
      </x:c>
      <x:c r="E48" s="7" t="str">
        <x:v>libtasn1-6</x:v>
      </x:c>
      <x:c r="F48" s="7" t="str">
        <x:v>4.20.0-2+deb13u1</x:v>
      </x:c>
      <x:c r="G48" s="7" t="str">
        <x:v>CWE-787</x:v>
      </x:c>
      <x:c r="H48" s="7" t="str">
        <x:v>CVE-2025-13151</x:v>
      </x:c>
      <x:c r="I48" s="7" t="n">
        <x:v>192</x:v>
      </x:c>
      <x:c r="J48" s="9" t="str">
        <x:v>PENDIENTE</x:v>
      </x:c>
      <x:c r="K48" s="10" t="n">
        <x:v>46402</x:v>
      </x:c>
      <x:c r="L48" s="7" t="str">
        <x:v>Avance 2027-01-15</x:v>
      </x:c>
      <x:c r="M48" s="8" t="str">
        <x:v>Actualizar imagen/base y validar compatibilidad en despliegue.</x:v>
      </x:c>
      <x:c r="N48" s="17"/>
      <x:c r="O48" s="17"/>
    </x:row>
    <x:row r="49" ht="39.599998474121094" hidden="0" customHeight="1">
      <x:c r="A49" s="7" t="str">
        <x:v>SIAJ-0436</x:v>
      </x:c>
      <x:c r="B49" s="7" t="str">
        <x:v>CONTAINER</x:v>
      </x:c>
      <x:c r="C49" s="7" t="str">
        <x:v>HIGH</x:v>
      </x:c>
      <x:c r="D49" s="8" t="str">
        <x:v>Contenedor libxml2-2.12.7+dfsg+really2.9.14-2.1+deb13u3</x:v>
      </x:c>
      <x:c r="E49" s="7" t="str">
        <x:v>libxml2</x:v>
      </x:c>
      <x:c r="F49" s="7" t="str">
        <x:v>2.12.7+dfsg+really2.9.14-2.1+deb13u3</x:v>
      </x:c>
      <x:c r="G49" s="7" t="str">
        <x:v>CWE-416</x:v>
      </x:c>
      <x:c r="H49" s="7" t="str">
        <x:v>CVE-2026-6653</x:v>
      </x:c>
      <x:c r="I49" s="7" t="n">
        <x:v>192</x:v>
      </x:c>
      <x:c r="J49" s="9" t="str">
        <x:v>PENDIENTE</x:v>
      </x:c>
      <x:c r="K49" s="10" t="n">
        <x:v>46402</x:v>
      </x:c>
      <x:c r="L49" s="7" t="str">
        <x:v>Avance 2027-01-15</x:v>
      </x:c>
      <x:c r="M49" s="8" t="str">
        <x:v>Actualizar imagen/base y validar compatibilidad en despliegue.</x:v>
      </x:c>
      <x:c r="N49" s="17"/>
      <x:c r="O49" s="17"/>
    </x:row>
    <x:row r="50" ht="39.599998474121094" hidden="0" customHeight="1">
      <x:c r="A50" s="7" t="str">
        <x:v>SIAJ-0437</x:v>
      </x:c>
      <x:c r="B50" s="7" t="str">
        <x:v>CONTAINER</x:v>
      </x:c>
      <x:c r="C50" s="7" t="str">
        <x:v>HIGH</x:v>
      </x:c>
      <x:c r="D50" s="8" t="str">
        <x:v>Contenedor libxml2-2.12.7+dfsg+really2.9.14-2.1+deb13u3</x:v>
      </x:c>
      <x:c r="E50" s="7" t="str">
        <x:v>libxml2</x:v>
      </x:c>
      <x:c r="F50" s="7" t="str">
        <x:v>2.12.7+dfsg+really2.9.14-2.1+deb13u3</x:v>
      </x:c>
      <x:c r="G50" s="7" t="str">
        <x:v>CWE-843</x:v>
      </x:c>
      <x:c r="H50" s="7" t="str">
        <x:v>CVE-2026-6732</x:v>
      </x:c>
      <x:c r="I50" s="7" t="n">
        <x:v>193</x:v>
      </x:c>
      <x:c r="J50" s="9" t="str">
        <x:v>PENDIENTE</x:v>
      </x:c>
      <x:c r="K50" s="10" t="n">
        <x:v>46402</x:v>
      </x:c>
      <x:c r="L50" s="7" t="str">
        <x:v>Avance 2027-01-15</x:v>
      </x:c>
      <x:c r="M50" s="8" t="str">
        <x:v>Actualizar imagen/base y validar compatibilidad en despliegue.</x:v>
      </x:c>
      <x:c r="N50" s="17"/>
      <x:c r="O50" s="17"/>
    </x:row>
    <x:row r="51" ht="15" hidden="0" customHeight="1">
      <x:c r="A51" s="7" t="str">
        <x:v>SIAJ-0480</x:v>
      </x:c>
      <x:c r="B51" s="7" t="str">
        <x:v>CONTAINER</x:v>
      </x:c>
      <x:c r="C51" s="7" t="str">
        <x:v>HIGH</x:v>
      </x:c>
      <x:c r="D51" s="8" t="str">
        <x:v>Contenedor ncurses-6.5+20250216-2</x:v>
      </x:c>
      <x:c r="E51" s="7" t="str">
        <x:v>ncurses</x:v>
      </x:c>
      <x:c r="F51" s="7" t="str">
        <x:v>6.5+20250216-2</x:v>
      </x:c>
      <x:c r="G51" s="7" t="str">
        <x:v>CWE-121</x:v>
      </x:c>
      <x:c r="H51" s="7" t="str">
        <x:v>CVE-2025-69720</x:v>
      </x:c>
      <x:c r="I51" s="7" t="n">
        <x:v>204</x:v>
      </x:c>
      <x:c r="J51" s="9" t="str">
        <x:v>PENDIENTE</x:v>
      </x:c>
      <x:c r="K51" s="10" t="n">
        <x:v>46402</x:v>
      </x:c>
      <x:c r="L51" s="7" t="str">
        <x:v>Avance 2027-01-15</x:v>
      </x:c>
      <x:c r="M51" s="8" t="str">
        <x:v>Actualizar imagen/base y validar compatibilidad en despliegue.</x:v>
      </x:c>
      <x:c r="N51" s="17"/>
      <x:c r="O51" s="17"/>
    </x:row>
    <x:row r="52" ht="15" hidden="0" customHeight="1">
      <x:c r="A52" s="7" t="str">
        <x:v>SIAJ-0502</x:v>
      </x:c>
      <x:c r="B52" s="7" t="str">
        <x:v>CONTAINER</x:v>
      </x:c>
      <x:c r="C52" s="7" t="str">
        <x:v>HIGH</x:v>
      </x:c>
      <x:c r="D52" s="8" t="str">
        <x:v>Contenedor openldap-2.6.10+dfsg-1</x:v>
      </x:c>
      <x:c r="E52" s="7" t="str">
        <x:v>openldap</x:v>
      </x:c>
      <x:c r="F52" s="7" t="str">
        <x:v>2.6.10+dfsg-1</x:v>
      </x:c>
      <x:c r="G52" s="7" t="str">
        <x:v>CWE-119</x:v>
      </x:c>
      <x:c r="H52" s="7" t="str">
        <x:v>CVE-2017-17740</x:v>
      </x:c>
      <x:c r="I52" s="7" t="n">
        <x:v>210</x:v>
      </x:c>
      <x:c r="J52" s="9" t="str">
        <x:v>PENDIENTE</x:v>
      </x:c>
      <x:c r="K52" s="10" t="n">
        <x:v>46402</x:v>
      </x:c>
      <x:c r="L52" s="7" t="str">
        <x:v>Avance 2027-01-15</x:v>
      </x:c>
      <x:c r="M52" s="8" t="str">
        <x:v>Actualizar imagen/base y validar compatibilidad en despliegue.</x:v>
      </x:c>
      <x:c r="N52" s="17"/>
      <x:c r="O52" s="17"/>
    </x:row>
    <x:row r="53" ht="15" hidden="0" customHeight="1">
      <x:c r="A53" s="7" t="str">
        <x:v>SIAJ-0503</x:v>
      </x:c>
      <x:c r="B53" s="7" t="str">
        <x:v>CONTAINER</x:v>
      </x:c>
      <x:c r="C53" s="7" t="str">
        <x:v>HIGH</x:v>
      </x:c>
      <x:c r="D53" s="8" t="str">
        <x:v>Contenedor openldap-2.6.10+dfsg-1</x:v>
      </x:c>
      <x:c r="E53" s="7" t="str">
        <x:v>openldap</x:v>
      </x:c>
      <x:c r="F53" s="7" t="str">
        <x:v>2.6.10+dfsg-1</x:v>
      </x:c>
      <x:c r="G53" s="7" t="str">
        <x:v>NVD-CWE-noinfo</x:v>
      </x:c>
      <x:c r="H53" s="7" t="str">
        <x:v>CVE-2015-3276</x:v>
      </x:c>
      <x:c r="I53" s="7" t="n">
        <x:v>210</x:v>
      </x:c>
      <x:c r="J53" s="9" t="str">
        <x:v>PENDIENTE</x:v>
      </x:c>
      <x:c r="K53" s="10" t="n">
        <x:v>46402</x:v>
      </x:c>
      <x:c r="L53" s="7" t="str">
        <x:v>Avance 2027-01-15</x:v>
      </x:c>
      <x:c r="M53" s="8" t="str">
        <x:v>Actualizar imagen/base y validar compatibilidad en despliegue.</x:v>
      </x:c>
      <x:c r="N53" s="17"/>
      <x:c r="O53" s="17"/>
    </x:row>
    <x:row r="54" ht="15" hidden="0" customHeight="1">
      <x:c r="A54" s="7" t="str">
        <x:v>SIAJ-0439</x:v>
      </x:c>
      <x:c r="B54" s="7" t="str">
        <x:v>CONTAINER</x:v>
      </x:c>
      <x:c r="C54" s="7" t="str">
        <x:v>HIGH</x:v>
      </x:c>
      <x:c r="D54" s="8" t="str">
        <x:v>Contenedor openssl-3.5.6-1~deb13u2</x:v>
      </x:c>
      <x:c r="E54" s="7" t="str">
        <x:v>openssl</x:v>
      </x:c>
      <x:c r="F54" s="7" t="str">
        <x:v>3.5.6-1~deb13u2</x:v>
      </x:c>
      <x:c r="G54" s="7" t="str">
        <x:v>CWE-476</x:v>
      </x:c>
      <x:c r="H54" s="7" t="str">
        <x:v>CVE-2026-42764</x:v>
      </x:c>
      <x:c r="I54" s="7" t="n">
        <x:v>193</x:v>
      </x:c>
      <x:c r="J54" s="9" t="str">
        <x:v>PENDIENTE</x:v>
      </x:c>
      <x:c r="K54" s="10" t="n">
        <x:v>46402</x:v>
      </x:c>
      <x:c r="L54" s="7" t="str">
        <x:v>Avance 2027-01-15</x:v>
      </x:c>
      <x:c r="M54" s="8" t="str">
        <x:v>Actualizar imagen/base y validar compatibilidad en despliegue.</x:v>
      </x:c>
      <x:c r="N54" s="17"/>
      <x:c r="O54" s="17"/>
    </x:row>
    <x:row r="55" ht="15" hidden="0" customHeight="1">
      <x:c r="A55" s="7" t="str">
        <x:v>SIAJ-0440</x:v>
      </x:c>
      <x:c r="B55" s="7" t="str">
        <x:v>CONTAINER</x:v>
      </x:c>
      <x:c r="C55" s="7" t="str">
        <x:v>HIGH</x:v>
      </x:c>
      <x:c r="D55" s="8" t="str">
        <x:v>Contenedor openssl-3.5.6-1~deb13u2</x:v>
      </x:c>
      <x:c r="E55" s="7" t="str">
        <x:v>openssl</x:v>
      </x:c>
      <x:c r="F55" s="7" t="str">
        <x:v>3.5.6-1~deb13u2</x:v>
      </x:c>
      <x:c r="G55" s="7" t="str">
        <x:v>CWE-416</x:v>
      </x:c>
      <x:c r="H55" s="7" t="str">
        <x:v>CVE-2026-45447</x:v>
      </x:c>
      <x:c r="I55" s="7" t="n">
        <x:v>193</x:v>
      </x:c>
      <x:c r="J55" s="9" t="str">
        <x:v>PENDIENTE</x:v>
      </x:c>
      <x:c r="K55" s="10" t="n">
        <x:v>46402</x:v>
      </x:c>
      <x:c r="L55" s="7" t="str">
        <x:v>Avance 2027-01-15</x:v>
      </x:c>
      <x:c r="M55" s="8" t="str">
        <x:v>Actualizar imagen/base y validar compatibilidad en despliegue.</x:v>
      </x:c>
      <x:c r="N55" s="17"/>
      <x:c r="O55" s="17"/>
    </x:row>
    <x:row r="56" ht="15" hidden="0" customHeight="1">
      <x:c r="A56" s="7" t="str">
        <x:v>SIAJ-0441</x:v>
      </x:c>
      <x:c r="B56" s="7" t="str">
        <x:v>CONTAINER</x:v>
      </x:c>
      <x:c r="C56" s="7" t="str">
        <x:v>HIGH</x:v>
      </x:c>
      <x:c r="D56" s="8" t="str">
        <x:v>Contenedor openssl-3.5.6-1~deb13u2</x:v>
      </x:c>
      <x:c r="E56" s="7" t="str">
        <x:v>openssl</x:v>
      </x:c>
      <x:c r="F56" s="7" t="str">
        <x:v>3.5.6-1~deb13u2</x:v>
      </x:c>
      <x:c r="G56" s="7" t="str">
        <x:v>CWE-125</x:v>
      </x:c>
      <x:c r="H56" s="7" t="str">
        <x:v>CVE-2026-9076</x:v>
      </x:c>
      <x:c r="I56" s="7" t="n">
        <x:v>194</x:v>
      </x:c>
      <x:c r="J56" s="9" t="str">
        <x:v>PENDIENTE</x:v>
      </x:c>
      <x:c r="K56" s="10" t="n">
        <x:v>46402</x:v>
      </x:c>
      <x:c r="L56" s="7" t="str">
        <x:v>Avance 2027-01-15</x:v>
      </x:c>
      <x:c r="M56" s="8" t="str">
        <x:v>Actualizar imagen/base y validar compatibilidad en despliegue.</x:v>
      </x:c>
      <x:c r="N56" s="17"/>
      <x:c r="O56" s="17"/>
    </x:row>
    <x:row r="57" ht="15" hidden="0" customHeight="1">
      <x:c r="A57" s="7" t="str">
        <x:v>SIAJ-0442</x:v>
      </x:c>
      <x:c r="B57" s="7" t="str">
        <x:v>CONTAINER</x:v>
      </x:c>
      <x:c r="C57" s="7" t="str">
        <x:v>HIGH</x:v>
      </x:c>
      <x:c r="D57" s="8" t="str">
        <x:v>Contenedor openssl-3.5.6-1~deb13u2</x:v>
      </x:c>
      <x:c r="E57" s="7" t="str">
        <x:v>openssl</x:v>
      </x:c>
      <x:c r="F57" s="7" t="str">
        <x:v>3.5.6-1~deb13u2</x:v>
      </x:c>
      <x:c r="G57" s="7" t="str">
        <x:v>CWE-787</x:v>
      </x:c>
      <x:c r="H57" s="7" t="str">
        <x:v>CVE-2026-7383</x:v>
      </x:c>
      <x:c r="I57" s="7" t="n">
        <x:v>194</x:v>
      </x:c>
      <x:c r="J57" s="9" t="str">
        <x:v>PENDIENTE</x:v>
      </x:c>
      <x:c r="K57" s="10" t="n">
        <x:v>46402</x:v>
      </x:c>
      <x:c r="L57" s="7" t="str">
        <x:v>Avance 2027-01-15</x:v>
      </x:c>
      <x:c r="M57" s="8" t="str">
        <x:v>Actualizar imagen/base y validar compatibilidad en despliegue.</x:v>
      </x:c>
      <x:c r="N57" s="17"/>
      <x:c r="O57" s="17"/>
    </x:row>
    <x:row r="58" ht="15" hidden="0" customHeight="1">
      <x:c r="A58" s="7" t="str">
        <x:v>SIAJ-0443</x:v>
      </x:c>
      <x:c r="B58" s="7" t="str">
        <x:v>CONTAINER</x:v>
      </x:c>
      <x:c r="C58" s="7" t="str">
        <x:v>HIGH</x:v>
      </x:c>
      <x:c r="D58" s="8" t="str">
        <x:v>Contenedor openssl-3.5.6-1~deb13u2</x:v>
      </x:c>
      <x:c r="E58" s="7" t="str">
        <x:v>openssl</x:v>
      </x:c>
      <x:c r="F58" s="7" t="str">
        <x:v>3.5.6-1~deb13u2</x:v>
      </x:c>
      <x:c r="G58" s="7" t="str">
        <x:v>CWE-325</x:v>
      </x:c>
      <x:c r="H58" s="7" t="str">
        <x:v>CVE-2026-45445</x:v>
      </x:c>
      <x:c r="I58" s="7" t="n">
        <x:v>194</x:v>
      </x:c>
      <x:c r="J58" s="9" t="str">
        <x:v>PENDIENTE</x:v>
      </x:c>
      <x:c r="K58" s="10" t="n">
        <x:v>46402</x:v>
      </x:c>
      <x:c r="L58" s="7" t="str">
        <x:v>Avance 2027-01-15</x:v>
      </x:c>
      <x:c r="M58" s="8" t="str">
        <x:v>Actualizar imagen/base y validar compatibilidad en despliegue.</x:v>
      </x:c>
      <x:c r="N58" s="17"/>
      <x:c r="O58" s="17"/>
    </x:row>
    <x:row r="59" ht="15" hidden="0" customHeight="1">
      <x:c r="A59" s="7" t="str">
        <x:v>SIAJ-0444</x:v>
      </x:c>
      <x:c r="B59" s="7" t="str">
        <x:v>CONTAINER</x:v>
      </x:c>
      <x:c r="C59" s="7" t="str">
        <x:v>HIGH</x:v>
      </x:c>
      <x:c r="D59" s="8" t="str">
        <x:v>Contenedor openssl-3.5.6-1~deb13u2</x:v>
      </x:c>
      <x:c r="E59" s="7" t="str">
        <x:v>openssl</x:v>
      </x:c>
      <x:c r="F59" s="7" t="str">
        <x:v>3.5.6-1~deb13u2</x:v>
      </x:c>
      <x:c r="G59" s="7" t="str">
        <x:v>CWE-1325</x:v>
      </x:c>
      <x:c r="H59" s="7" t="str">
        <x:v>CVE-2026-34183</x:v>
      </x:c>
      <x:c r="I59" s="7" t="n">
        <x:v>194</x:v>
      </x:c>
      <x:c r="J59" s="9" t="str">
        <x:v>PENDIENTE</x:v>
      </x:c>
      <x:c r="K59" s="10" t="n">
        <x:v>46402</x:v>
      </x:c>
      <x:c r="L59" s="7" t="str">
        <x:v>Avance 2027-01-15</x:v>
      </x:c>
      <x:c r="M59" s="8" t="str">
        <x:v>Actualizar imagen/base y validar compatibilidad en despliegue.</x:v>
      </x:c>
      <x:c r="N59" s="17"/>
      <x:c r="O59" s="17"/>
    </x:row>
    <x:row r="60" ht="15" hidden="0" customHeight="1">
      <x:c r="A60" s="7" t="str">
        <x:v>SIAJ-0445</x:v>
      </x:c>
      <x:c r="B60" s="7" t="str">
        <x:v>CONTAINER</x:v>
      </x:c>
      <x:c r="C60" s="7" t="str">
        <x:v>HIGH</x:v>
      </x:c>
      <x:c r="D60" s="8" t="str">
        <x:v>Contenedor openssl-3.5.6-1~deb13u2</x:v>
      </x:c>
      <x:c r="E60" s="7" t="str">
        <x:v>openssl</x:v>
      </x:c>
      <x:c r="F60" s="7" t="str">
        <x:v>3.5.6-1~deb13u2</x:v>
      </x:c>
      <x:c r="G60" s="7" t="str">
        <x:v>CWE-354</x:v>
      </x:c>
      <x:c r="H60" s="7" t="str">
        <x:v>CVE-2026-34181</x:v>
      </x:c>
      <x:c r="I60" s="7" t="n">
        <x:v>195</x:v>
      </x:c>
      <x:c r="J60" s="9" t="str">
        <x:v>PENDIENTE</x:v>
      </x:c>
      <x:c r="K60" s="10" t="n">
        <x:v>46402</x:v>
      </x:c>
      <x:c r="L60" s="7" t="str">
        <x:v>Avance 2027-01-15</x:v>
      </x:c>
      <x:c r="M60" s="8" t="str">
        <x:v>Actualizar imagen/base y validar compatibilidad en despliegue.</x:v>
      </x:c>
      <x:c r="N60" s="17"/>
      <x:c r="O60" s="17"/>
    </x:row>
    <x:row r="61" ht="15" hidden="0" customHeight="1">
      <x:c r="A61" s="7" t="str">
        <x:v>SIAJ-0446</x:v>
      </x:c>
      <x:c r="B61" s="7" t="str">
        <x:v>CONTAINER</x:v>
      </x:c>
      <x:c r="C61" s="7" t="str">
        <x:v>HIGH</x:v>
      </x:c>
      <x:c r="D61" s="8" t="str">
        <x:v>Contenedor openssl-3.5.6-1~deb13u2</x:v>
      </x:c>
      <x:c r="E61" s="7" t="str">
        <x:v>openssl</x:v>
      </x:c>
      <x:c r="F61" s="7" t="str">
        <x:v>3.5.6-1~deb13u2</x:v>
      </x:c>
      <x:c r="G61" s="7" t="str">
        <x:v>CWE-125</x:v>
      </x:c>
      <x:c r="H61" s="7" t="str">
        <x:v>CVE-2026-34180</x:v>
      </x:c>
      <x:c r="I61" s="7" t="n">
        <x:v>195</x:v>
      </x:c>
      <x:c r="J61" s="9" t="str">
        <x:v>PENDIENTE</x:v>
      </x:c>
      <x:c r="K61" s="10" t="n">
        <x:v>46402</x:v>
      </x:c>
      <x:c r="L61" s="7" t="str">
        <x:v>Avance 2027-01-15</x:v>
      </x:c>
      <x:c r="M61" s="8" t="str">
        <x:v>Actualizar imagen/base y validar compatibilidad en despliegue.</x:v>
      </x:c>
      <x:c r="N61" s="17"/>
      <x:c r="O61" s="17"/>
    </x:row>
    <x:row r="62" ht="15" hidden="0" customHeight="1">
      <x:c r="A62" s="7" t="str">
        <x:v>SIAJ-0456</x:v>
      </x:c>
      <x:c r="B62" s="7" t="str">
        <x:v>CONTAINER</x:v>
      </x:c>
      <x:c r="C62" s="7" t="str">
        <x:v>HIGH</x:v>
      </x:c>
      <x:c r="D62" s="8" t="str">
        <x:v>Contenedor perl-5.40.1-6</x:v>
      </x:c>
      <x:c r="E62" s="7" t="str">
        <x:v>perl</x:v>
      </x:c>
      <x:c r="F62" s="7" t="str">
        <x:v>5.40.1-6</x:v>
      </x:c>
      <x:c r="G62" s="7" t="str">
        <x:v>CWE-522</x:v>
      </x:c>
      <x:c r="H62" s="7" t="str">
        <x:v>CVE-2026-7017</x:v>
      </x:c>
      <x:c r="I62" s="7" t="n">
        <x:v>198</x:v>
      </x:c>
      <x:c r="J62" s="9" t="str">
        <x:v>PENDIENTE</x:v>
      </x:c>
      <x:c r="K62" s="10" t="n">
        <x:v>46402</x:v>
      </x:c>
      <x:c r="L62" s="7" t="str">
        <x:v>Avance 2027-01-15</x:v>
      </x:c>
      <x:c r="M62" s="8" t="str">
        <x:v>Actualizar imagen/base y validar compatibilidad en despliegue.</x:v>
      </x:c>
      <x:c r="N62" s="17"/>
      <x:c r="O62" s="17"/>
    </x:row>
    <x:row r="63" ht="15" hidden="0" customHeight="1">
      <x:c r="A63" s="7" t="str">
        <x:v>SIAJ-0457</x:v>
      </x:c>
      <x:c r="B63" s="7" t="str">
        <x:v>CONTAINER</x:v>
      </x:c>
      <x:c r="C63" s="7" t="str">
        <x:v>HIGH</x:v>
      </x:c>
      <x:c r="D63" s="8" t="str">
        <x:v>Contenedor perl-5.40.1-6</x:v>
      </x:c>
      <x:c r="E63" s="7" t="str">
        <x:v>perl</x:v>
      </x:c>
      <x:c r="F63" s="7" t="str">
        <x:v>5.40.1-6</x:v>
      </x:c>
      <x:c r="G63" s="7" t="str">
        <x:v>CWE-125</x:v>
      </x:c>
      <x:c r="H63" s="7" t="str">
        <x:v>CVE-2026-57432</x:v>
      </x:c>
      <x:c r="I63" s="7" t="n">
        <x:v>198</x:v>
      </x:c>
      <x:c r="J63" s="9" t="str">
        <x:v>PENDIENTE</x:v>
      </x:c>
      <x:c r="K63" s="10" t="n">
        <x:v>46402</x:v>
      </x:c>
      <x:c r="L63" s="7" t="str">
        <x:v>Avance 2027-01-15</x:v>
      </x:c>
      <x:c r="M63" s="8" t="str">
        <x:v>Actualizar imagen/base y validar compatibilidad en despliegue.</x:v>
      </x:c>
      <x:c r="N63" s="17"/>
      <x:c r="O63" s="17"/>
    </x:row>
    <x:row r="64" ht="15" hidden="0" customHeight="1">
      <x:c r="A64" s="7" t="str">
        <x:v>SIAJ-0458</x:v>
      </x:c>
      <x:c r="B64" s="7" t="str">
        <x:v>CONTAINER</x:v>
      </x:c>
      <x:c r="C64" s="7" t="str">
        <x:v>HIGH</x:v>
      </x:c>
      <x:c r="D64" s="8" t="str">
        <x:v>Contenedor perl-5.40.1-6</x:v>
      </x:c>
      <x:c r="E64" s="7" t="str">
        <x:v>perl</x:v>
      </x:c>
      <x:c r="F64" s="7" t="str">
        <x:v>5.40.1-6</x:v>
      </x:c>
      <x:c r="G64" s="7" t="str">
        <x:v>CWE-407</x:v>
      </x:c>
      <x:c r="H64" s="7" t="str">
        <x:v>CVE-2026-48959</x:v>
      </x:c>
      <x:c r="I64" s="7" t="n">
        <x:v>198</x:v>
      </x:c>
      <x:c r="J64" s="9" t="str">
        <x:v>PENDIENTE</x:v>
      </x:c>
      <x:c r="K64" s="10" t="n">
        <x:v>46402</x:v>
      </x:c>
      <x:c r="L64" s="7" t="str">
        <x:v>Avance 2027-01-15</x:v>
      </x:c>
      <x:c r="M64" s="8" t="str">
        <x:v>Actualizar imagen/base y validar compatibilidad en despliegue.</x:v>
      </x:c>
      <x:c r="N64" s="17"/>
      <x:c r="O64" s="17"/>
    </x:row>
    <x:row r="65" ht="15" hidden="0" customHeight="1">
      <x:c r="A65" s="7" t="str">
        <x:v>SIAJ-0459</x:v>
      </x:c>
      <x:c r="B65" s="7" t="str">
        <x:v>CONTAINER</x:v>
      </x:c>
      <x:c r="C65" s="7" t="str">
        <x:v>HIGH</x:v>
      </x:c>
      <x:c r="D65" s="8" t="str">
        <x:v>Contenedor perl-5.40.1-6</x:v>
      </x:c>
      <x:c r="E65" s="7" t="str">
        <x:v>perl</x:v>
      </x:c>
      <x:c r="F65" s="7" t="str">
        <x:v>5.40.1-6</x:v>
      </x:c>
      <x:c r="G65" s="7" t="str">
        <x:v>CWE-95</x:v>
      </x:c>
      <x:c r="H65" s="7" t="str">
        <x:v>CVE-2026-48962</x:v>
      </x:c>
      <x:c r="I65" s="7" t="n">
        <x:v>198</x:v>
      </x:c>
      <x:c r="J65" s="9" t="str">
        <x:v>PENDIENTE</x:v>
      </x:c>
      <x:c r="K65" s="10" t="n">
        <x:v>46433</x:v>
      </x:c>
      <x:c r="L65" s="7" t="str">
        <x:v>Avance 2027-02-15</x:v>
      </x:c>
      <x:c r="M65" s="8" t="str">
        <x:v>Actualizar imagen/base y validar compatibilidad en despliegue.</x:v>
      </x:c>
      <x:c r="N65" s="17"/>
      <x:c r="O65" s="17"/>
    </x:row>
    <x:row r="66" ht="15" hidden="0" customHeight="1">
      <x:c r="A66" s="7" t="str">
        <x:v>SIAJ-0460</x:v>
      </x:c>
      <x:c r="B66" s="7" t="str">
        <x:v>CONTAINER</x:v>
      </x:c>
      <x:c r="C66" s="7" t="str">
        <x:v>HIGH</x:v>
      </x:c>
      <x:c r="D66" s="8" t="str">
        <x:v>Contenedor perl-5.40.1-6</x:v>
      </x:c>
      <x:c r="E66" s="7" t="str">
        <x:v>perl</x:v>
      </x:c>
      <x:c r="F66" s="7" t="str">
        <x:v>5.40.1-6</x:v>
      </x:c>
      <x:c r="G66" s="7" t="str">
        <x:v>CWE-755</x:v>
      </x:c>
      <x:c r="H66" s="7" t="str">
        <x:v>CVE-2026-48961</x:v>
      </x:c>
      <x:c r="I66" s="7" t="n">
        <x:v>199</x:v>
      </x:c>
      <x:c r="J66" s="9" t="str">
        <x:v>PENDIENTE</x:v>
      </x:c>
      <x:c r="K66" s="10" t="n">
        <x:v>46433</x:v>
      </x:c>
      <x:c r="L66" s="7" t="str">
        <x:v>Avance 2027-02-15</x:v>
      </x:c>
      <x:c r="M66" s="8" t="str">
        <x:v>Actualizar imagen/base y validar compatibilidad en despliegue.</x:v>
      </x:c>
      <x:c r="N66" s="17"/>
      <x:c r="O66" s="17"/>
    </x:row>
    <x:row r="67" ht="15" hidden="0" customHeight="1">
      <x:c r="A67" s="7" t="str">
        <x:v>SIAJ-0461</x:v>
      </x:c>
      <x:c r="B67" s="7" t="str">
        <x:v>CONTAINER</x:v>
      </x:c>
      <x:c r="C67" s="7" t="str">
        <x:v>HIGH</x:v>
      </x:c>
      <x:c r="D67" s="8" t="str">
        <x:v>Contenedor perl-5.40.1-6</x:v>
      </x:c>
      <x:c r="E67" s="7" t="str">
        <x:v>perl</x:v>
      </x:c>
      <x:c r="F67" s="7" t="str">
        <x:v>5.40.1-6</x:v>
      </x:c>
      <x:c r="G67" s="7" t="str">
        <x:v>CWE-59</x:v>
      </x:c>
      <x:c r="H67" s="7" t="str">
        <x:v>CVE-2026-42497</x:v>
      </x:c>
      <x:c r="I67" s="7" t="n">
        <x:v>199</x:v>
      </x:c>
      <x:c r="J67" s="9" t="str">
        <x:v>PENDIENTE</x:v>
      </x:c>
      <x:c r="K67" s="10" t="n">
        <x:v>46433</x:v>
      </x:c>
      <x:c r="L67" s="7" t="str">
        <x:v>Avance 2027-02-15</x:v>
      </x:c>
      <x:c r="M67" s="8" t="str">
        <x:v>Actualizar imagen/base y validar compatibilidad en despliegue.</x:v>
      </x:c>
      <x:c r="N67" s="17"/>
      <x:c r="O67" s="17"/>
    </x:row>
    <x:row r="68" ht="15" hidden="0" customHeight="1">
      <x:c r="A68" s="7" t="str">
        <x:v>SIAJ-0462</x:v>
      </x:c>
      <x:c r="B68" s="7" t="str">
        <x:v>CONTAINER</x:v>
      </x:c>
      <x:c r="C68" s="7" t="str">
        <x:v>HIGH</x:v>
      </x:c>
      <x:c r="D68" s="8" t="str">
        <x:v>Contenedor perl-5.40.1-6</x:v>
      </x:c>
      <x:c r="E68" s="7" t="str">
        <x:v>perl</x:v>
      </x:c>
      <x:c r="F68" s="7" t="str">
        <x:v>5.40.1-6</x:v>
      </x:c>
      <x:c r="G68" s="7" t="str">
        <x:v>CWE-789</x:v>
      </x:c>
      <x:c r="H68" s="7" t="str">
        <x:v>CVE-2026-9538</x:v>
      </x:c>
      <x:c r="I68" s="7" t="n">
        <x:v>199</x:v>
      </x:c>
      <x:c r="J68" s="9" t="str">
        <x:v>PENDIENTE</x:v>
      </x:c>
      <x:c r="K68" s="10" t="n">
        <x:v>46433</x:v>
      </x:c>
      <x:c r="L68" s="7" t="str">
        <x:v>Avance 2027-02-15</x:v>
      </x:c>
      <x:c r="M68" s="8" t="str">
        <x:v>Actualizar imagen/base y validar compatibilidad en despliegue.</x:v>
      </x:c>
      <x:c r="N68" s="17"/>
      <x:c r="O68" s="17"/>
    </x:row>
    <x:row r="69" ht="15" hidden="0" customHeight="1">
      <x:c r="A69" s="7" t="str">
        <x:v>SIAJ-0483</x:v>
      </x:c>
      <x:c r="B69" s="7" t="str">
        <x:v>CONTAINER</x:v>
      </x:c>
      <x:c r="C69" s="7" t="str">
        <x:v>HIGH</x:v>
      </x:c>
      <x:c r="D69" s="8" t="str">
        <x:v>Contenedor sqlite3-3.46.1-7+deb13u1</x:v>
      </x:c>
      <x:c r="E69" s="7" t="str">
        <x:v>sqlite3</x:v>
      </x:c>
      <x:c r="F69" s="7" t="str">
        <x:v>3.46.1-7+deb13u1</x:v>
      </x:c>
      <x:c r="G69" s="7" t="str">
        <x:v>CWE-122</x:v>
      </x:c>
      <x:c r="H69" s="7" t="str">
        <x:v>CVE-2026-11824</x:v>
      </x:c>
      <x:c r="I69" s="7" t="n">
        <x:v>205</x:v>
      </x:c>
      <x:c r="J69" s="9" t="str">
        <x:v>PENDIENTE</x:v>
      </x:c>
      <x:c r="K69" s="10" t="n">
        <x:v>46433</x:v>
      </x:c>
      <x:c r="L69" s="7" t="str">
        <x:v>Avance 2027-02-15</x:v>
      </x:c>
      <x:c r="M69" s="8" t="str">
        <x:v>Actualizar imagen/base y validar compatibilidad en despliegue.</x:v>
      </x:c>
      <x:c r="N69" s="17"/>
      <x:c r="O69" s="17"/>
    </x:row>
    <x:row r="70" ht="15" hidden="0" customHeight="1">
      <x:c r="A70" s="7" t="str">
        <x:v>SIAJ-0484</x:v>
      </x:c>
      <x:c r="B70" s="7" t="str">
        <x:v>CONTAINER</x:v>
      </x:c>
      <x:c r="C70" s="7" t="str">
        <x:v>HIGH</x:v>
      </x:c>
      <x:c r="D70" s="8" t="str">
        <x:v>Contenedor sqlite3-3.46.1-7+deb13u1</x:v>
      </x:c>
      <x:c r="E70" s="7" t="str">
        <x:v>sqlite3</x:v>
      </x:c>
      <x:c r="F70" s="7" t="str">
        <x:v>3.46.1-7+deb13u1</x:v>
      </x:c>
      <x:c r="G70" s="7" t="str">
        <x:v>CWE-122</x:v>
      </x:c>
      <x:c r="H70" s="7" t="str">
        <x:v>CVE-2026-11822</x:v>
      </x:c>
      <x:c r="I70" s="7" t="n">
        <x:v>205</x:v>
      </x:c>
      <x:c r="J70" s="9" t="str">
        <x:v>PENDIENTE</x:v>
      </x:c>
      <x:c r="K70" s="10" t="n">
        <x:v>46433</x:v>
      </x:c>
      <x:c r="L70" s="7" t="str">
        <x:v>Avance 2027-02-15</x:v>
      </x:c>
      <x:c r="M70" s="8" t="str">
        <x:v>Actualizar imagen/base y validar compatibilidad en despliegue.</x:v>
      </x:c>
      <x:c r="N70" s="17"/>
      <x:c r="O70" s="17"/>
    </x:row>
    <x:row r="71" ht="15" hidden="0" customHeight="1">
      <x:c r="A71" s="7" t="str">
        <x:v>SIAJ-0485</x:v>
      </x:c>
      <x:c r="B71" s="7" t="str">
        <x:v>CONTAINER</x:v>
      </x:c>
      <x:c r="C71" s="7" t="str">
        <x:v>HIGH</x:v>
      </x:c>
      <x:c r="D71" s="8" t="str">
        <x:v>Contenedor sqlite3-3.46.1-7+deb13u1</x:v>
      </x:c>
      <x:c r="E71" s="7" t="str">
        <x:v>sqlite3</x:v>
      </x:c>
      <x:c r="F71" s="7" t="str">
        <x:v>3.46.1-7+deb13u1</x:v>
      </x:c>
      <x:c r="G71" s="7" t="str">
        <x:v>CWE-244</x:v>
      </x:c>
      <x:c r="H71" s="7" t="str">
        <x:v>CVE-2025-70873</x:v>
      </x:c>
      <x:c r="I71" s="7" t="n">
        <x:v>205</x:v>
      </x:c>
      <x:c r="J71" s="9" t="str">
        <x:v>PENDIENTE</x:v>
      </x:c>
      <x:c r="K71" s="10" t="n">
        <x:v>46433</x:v>
      </x:c>
      <x:c r="L71" s="7" t="str">
        <x:v>Avance 2027-02-15</x:v>
      </x:c>
      <x:c r="M71" s="8" t="str">
        <x:v>Actualizar imagen/base y validar compatibilidad en despliegue.</x:v>
      </x:c>
      <x:c r="N71" s="17"/>
      <x:c r="O71" s="17"/>
    </x:row>
    <x:row r="72" ht="39.599998474121094" hidden="0" customHeight="1">
      <x:c r="A72" s="7" t="str">
        <x:v>SIAJ-0217</x:v>
      </x:c>
      <x:c r="B72" s="7" t="str">
        <x:v>SCA</x:v>
      </x:c>
      <x:c r="C72" s="7" t="str">
        <x:v>HIGH</x:v>
      </x:c>
      <x:c r="D72" s="8" t="str">
        <x:v>Dependencia @modelcontextprotocol/sdk-1.0.1</x:v>
      </x:c>
      <x:c r="E72" s="7" t="str">
        <x:v>@modelcontextprotocol/sdk</x:v>
      </x:c>
      <x:c r="F72" s="7" t="str">
        <x:v>1.0.1</x:v>
      </x:c>
      <x:c r="G72" s="7" t="str">
        <x:v>CWE-1333</x:v>
      </x:c>
      <x:c r="H72" s="7" t="str">
        <x:v>CVE-2026-0621</x:v>
      </x:c>
      <x:c r="I72" s="7" t="n">
        <x:v>116</x:v>
      </x:c>
      <x:c r="J72" s="9" t="str">
        <x:v>PENDIENTE</x:v>
      </x:c>
      <x:c r="K72" s="10" t="n">
        <x:v>46433</x:v>
      </x:c>
      <x:c r="L72" s="7" t="str">
        <x:v>Avance 2027-02-15</x:v>
      </x:c>
      <x:c r="M72" s="8" t="str">
        <x:v>Anthropic's MCP TypeScript SDK versions through 1.25.1 contain a Regular Expression De nial-of-Service (ReDoS) vulnerability in the "UriTemplate" class when processing RFC 6570 exp</x:v>
      </x:c>
      <x:c r="N72" s="17"/>
      <x:c r="O72" s="17"/>
    </x:row>
    <x:row r="73" ht="39.599998474121094" hidden="0" customHeight="1">
      <x:c r="A73" s="7" t="str">
        <x:v>SIAJ-0218</x:v>
      </x:c>
      <x:c r="B73" s="7" t="str">
        <x:v>SCA</x:v>
      </x:c>
      <x:c r="C73" s="7" t="str">
        <x:v>HIGH</x:v>
      </x:c>
      <x:c r="D73" s="8" t="str">
        <x:v>Dependencia @modelcontextprotocol/sdk-1.0.1</x:v>
      </x:c>
      <x:c r="E73" s="7" t="str">
        <x:v>@modelcontextprotocol/sdk</x:v>
      </x:c>
      <x:c r="F73" s="7" t="str">
        <x:v>1.0.1</x:v>
      </x:c>
      <x:c r="G73" s="7" t="str">
        <x:v>CWE-1188</x:v>
      </x:c>
      <x:c r="H73" s="7" t="str">
        <x:v>CVE-2025-66414</x:v>
      </x:c>
      <x:c r="I73" s="7" t="n">
        <x:v>117</x:v>
      </x:c>
      <x:c r="J73" s="9" t="str">
        <x:v>PENDIENTE</x:v>
      </x:c>
      <x:c r="K73" s="10" t="n">
        <x:v>46433</x:v>
      </x:c>
      <x:c r="L73" s="7" t="str">
        <x:v>Avance 2027-02-15</x:v>
      </x:c>
      <x:c r="M73" s="8" t="str">
        <x:v>MCP TypeScript SDK is the official TypeScript SDK for Model Context Protocol servers an d clients. Prior to 1.24.0, The Model Context Protocol (MCP) TypeScript SDK does not enable</x:v>
      </x:c>
      <x:c r="N73" s="17"/>
      <x:c r="O73" s="17"/>
    </x:row>
    <x:row r="74" ht="39.599998474121094" hidden="0" customHeight="1">
      <x:c r="A74" s="7" t="str">
        <x:v>SIAJ-0280</x:v>
      </x:c>
      <x:c r="B74" s="7" t="str">
        <x:v>SCA</x:v>
      </x:c>
      <x:c r="C74" s="7" t="str">
        <x:v>HIGH</x:v>
      </x:c>
      <x:c r="D74" s="8" t="str">
        <x:v>Dependencia brace-expansion-1.1.12</x:v>
      </x:c>
      <x:c r="E74" s="7" t="str">
        <x:v>brace-expansion</x:v>
      </x:c>
      <x:c r="F74" s="7" t="str">
        <x:v>1.1.12</x:v>
      </x:c>
      <x:c r="G74" s="7" t="str">
        <x:v>CWE-400</x:v>
      </x:c>
      <x:c r="H74" s="7" t="str">
        <x:v>CVE-2026-33750</x:v>
      </x:c>
      <x:c r="I74" s="7" t="n">
        <x:v>139</x:v>
      </x:c>
      <x:c r="J74" s="9" t="str">
        <x:v>PENDIENTE</x:v>
      </x:c>
      <x:c r="K74" s="10" t="n">
        <x:v>46433</x:v>
      </x:c>
      <x:c r="L74" s="7" t="str">
        <x:v>Avance 2027-02-15</x:v>
      </x:c>
      <x:c r="M74" s="8" t="str">
        <x:v>The brace-expansion library generates arbitrary strings containing a common prefix and suffix. In versions prior to 1.1.13, 2.0.0 prior to 2.0.3, 3.0.0 prior to 3.0.2 and 4.0.0 pri</x:v>
      </x:c>
      <x:c r="N74" s="17"/>
      <x:c r="O74" s="17"/>
    </x:row>
    <x:row r="75" ht="39.599998474121094" hidden="0" customHeight="1">
      <x:c r="A75" s="7" t="str">
        <x:v>SIAJ-0281</x:v>
      </x:c>
      <x:c r="B75" s="7" t="str">
        <x:v>SCA</x:v>
      </x:c>
      <x:c r="C75" s="7" t="str">
        <x:v>HIGH</x:v>
      </x:c>
      <x:c r="D75" s="8" t="str">
        <x:v>Dependencia brace-expansion-1.1.12</x:v>
      </x:c>
      <x:c r="E75" s="7" t="str">
        <x:v>brace-expansion</x:v>
      </x:c>
      <x:c r="F75" s="7" t="str">
        <x:v>1.1.12</x:v>
      </x:c>
      <x:c r="G75" s="7" t="str">
        <x:v>CWE-400</x:v>
      </x:c>
      <x:c r="H75" s="7" t="str">
        <x:v>CVE-2026-14257</x:v>
      </x:c>
      <x:c r="I75" s="7" t="n">
        <x:v>139</x:v>
      </x:c>
      <x:c r="J75" s="9" t="str">
        <x:v>PENDIENTE</x:v>
      </x:c>
      <x:c r="K75" s="10" t="n">
        <x:v>46433</x:v>
      </x:c>
      <x:c r="L75" s="7" t="str">
        <x:v>Avance 2027-02-15</x:v>
      </x:c>
      <x:c r="M75" s="8" t="str">
        <x:v>brace-expansion through 5.0.7 is vulnerable to denial of service via memory exhaustion. The expand() function limits the number of results with a max option (default 100,000) but d</x:v>
      </x:c>
      <x:c r="N75" s="17"/>
      <x:c r="O75" s="17"/>
    </x:row>
    <x:row r="76" ht="39.599998474121094" hidden="0" customHeight="1">
      <x:c r="A76" s="7" t="str">
        <x:v>SIAJ-0282</x:v>
      </x:c>
      <x:c r="B76" s="7" t="str">
        <x:v>SCA</x:v>
      </x:c>
      <x:c r="C76" s="7" t="str">
        <x:v>HIGH</x:v>
      </x:c>
      <x:c r="D76" s="8" t="str">
        <x:v>Dependencia brace-expansion-1.1.12</x:v>
      </x:c>
      <x:c r="E76" s="7" t="str">
        <x:v>brace-expansion</x:v>
      </x:c>
      <x:c r="F76" s="7" t="str">
        <x:v>1.1.12</x:v>
      </x:c>
      <x:c r="G76" s="7" t="str">
        <x:v>CWE-400</x:v>
      </x:c>
      <x:c r="H76" s="7" t="str">
        <x:v>CVE-2026-13149</x:v>
      </x:c>
      <x:c r="I76" s="7" t="n">
        <x:v>140</x:v>
      </x:c>
      <x:c r="J76" s="9" t="str">
        <x:v>PENDIENTE</x:v>
      </x:c>
      <x:c r="K76" s="10" t="n">
        <x:v>46433</x:v>
      </x:c>
      <x:c r="L76" s="7" t="str">
        <x:v>Avance 2027-02-15</x:v>
      </x:c>
      <x:c r="M76" s="8" t="str">
        <x:v>brace-expansion through 5.0.6 is vulnerable to denial of service. The expand() function e xhibits exponential-time complexity in the number of consecutive non-expanding '{}' brace</x:v>
      </x:c>
      <x:c r="N76" s="17"/>
      <x:c r="O76" s="17"/>
    </x:row>
    <x:row r="77" ht="39.599998474121094" hidden="0" customHeight="1">
      <x:c r="A77" s="7" t="str">
        <x:v>SIAJ-0219</x:v>
      </x:c>
      <x:c r="B77" s="7" t="str">
        <x:v>SCA</x:v>
      </x:c>
      <x:c r="C77" s="7" t="str">
        <x:v>HIGH</x:v>
      </x:c>
      <x:c r="D77" s="8" t="str">
        <x:v>Dependencia brace-expansion-2.0.2</x:v>
      </x:c>
      <x:c r="E77" s="7" t="str">
        <x:v>brace-expansion</x:v>
      </x:c>
      <x:c r="F77" s="7" t="str">
        <x:v>2.0.2</x:v>
      </x:c>
      <x:c r="G77" s="7" t="str">
        <x:v>CWE-400</x:v>
      </x:c>
      <x:c r="H77" s="7" t="str">
        <x:v>CVE-2026-33750</x:v>
      </x:c>
      <x:c r="I77" s="7" t="n">
        <x:v>117</x:v>
      </x:c>
      <x:c r="J77" s="9" t="str">
        <x:v>PENDIENTE</x:v>
      </x:c>
      <x:c r="K77" s="10" t="n">
        <x:v>46433</x:v>
      </x:c>
      <x:c r="L77" s="7" t="str">
        <x:v>Avance 2027-02-15</x:v>
      </x:c>
      <x:c r="M77" s="8" t="str">
        <x:v>The brace-expansion library generates arbitrary strings containing a common prefix and suffix. In versions prior to 1.1.13, 2.0.0 prior to 2.0.3, 3.0.0 prior to 3.0.2 and 4.0.0 pri</x:v>
      </x:c>
      <x:c r="N77" s="17"/>
      <x:c r="O77" s="17"/>
    </x:row>
    <x:row r="78" ht="39.599998474121094" hidden="0" customHeight="1">
      <x:c r="A78" s="7" t="str">
        <x:v>SIAJ-0220</x:v>
      </x:c>
      <x:c r="B78" s="7" t="str">
        <x:v>SCA</x:v>
      </x:c>
      <x:c r="C78" s="7" t="str">
        <x:v>HIGH</x:v>
      </x:c>
      <x:c r="D78" s="8" t="str">
        <x:v>Dependencia brace-expansion-2.0.2</x:v>
      </x:c>
      <x:c r="E78" s="7" t="str">
        <x:v>brace-expansion</x:v>
      </x:c>
      <x:c r="F78" s="7" t="str">
        <x:v>2.0.2</x:v>
      </x:c>
      <x:c r="G78" s="7" t="str">
        <x:v>CWE-400</x:v>
      </x:c>
      <x:c r="H78" s="7" t="str">
        <x:v>CVE-2026-14257</x:v>
      </x:c>
      <x:c r="I78" s="7" t="n">
        <x:v>118</x:v>
      </x:c>
      <x:c r="J78" s="9" t="str">
        <x:v>PENDIENTE</x:v>
      </x:c>
      <x:c r="K78" s="10" t="n">
        <x:v>46433</x:v>
      </x:c>
      <x:c r="L78" s="7" t="str">
        <x:v>Avance 2027-02-15</x:v>
      </x:c>
      <x:c r="M78" s="8" t="str">
        <x:v>brace-expansion through 5.0.7 is vulnerable to denial of service via memory exhaustion. The expand() function limits the number of results with a max option (default 100,000) but d</x:v>
      </x:c>
      <x:c r="N78" s="17"/>
      <x:c r="O78" s="17"/>
    </x:row>
    <x:row r="79" ht="39.599998474121094" hidden="0" customHeight="1">
      <x:c r="A79" s="7" t="str">
        <x:v>SIAJ-0221</x:v>
      </x:c>
      <x:c r="B79" s="7" t="str">
        <x:v>SCA</x:v>
      </x:c>
      <x:c r="C79" s="7" t="str">
        <x:v>HIGH</x:v>
      </x:c>
      <x:c r="D79" s="8" t="str">
        <x:v>Dependencia brace-expansion-2.0.2</x:v>
      </x:c>
      <x:c r="E79" s="7" t="str">
        <x:v>brace-expansion</x:v>
      </x:c>
      <x:c r="F79" s="7" t="str">
        <x:v>2.0.2</x:v>
      </x:c>
      <x:c r="G79" s="7" t="str">
        <x:v>CWE-400</x:v>
      </x:c>
      <x:c r="H79" s="7" t="str">
        <x:v>CVE-2026-13149</x:v>
      </x:c>
      <x:c r="I79" s="7" t="n">
        <x:v>118</x:v>
      </x:c>
      <x:c r="J79" s="9" t="str">
        <x:v>PENDIENTE</x:v>
      </x:c>
      <x:c r="K79" s="10" t="n">
        <x:v>46433</x:v>
      </x:c>
      <x:c r="L79" s="7" t="str">
        <x:v>Avance 2027-02-15</x:v>
      </x:c>
      <x:c r="M79" s="8" t="str">
        <x:v>brace-expansion through 5.0.6 is vulnerable to denial of service. The expand() function e xhibits exponential-time complexity in the number of consecutive non-expanding '{}' brace</x:v>
      </x:c>
      <x:c r="N79" s="17"/>
      <x:c r="O79" s="17"/>
    </x:row>
    <x:row r="80" ht="39.599998474121094" hidden="0" customHeight="1">
      <x:c r="A80" s="7" t="str">
        <x:v>SIAJ-0296</x:v>
      </x:c>
      <x:c r="B80" s="7" t="str">
        <x:v>SCA</x:v>
      </x:c>
      <x:c r="C80" s="7" t="str">
        <x:v>HIGH</x:v>
      </x:c>
      <x:c r="D80" s="8" t="str">
        <x:v>Dependencia ch.qos.logback:logback-core-1.5.21</x:v>
      </x:c>
      <x:c r="E80" s="7" t="str">
        <x:v>ch.qos.logback:logback-core</x:v>
      </x:c>
      <x:c r="F80" s="7" t="str">
        <x:v>1.5.21</x:v>
      </x:c>
      <x:c r="G80" s="7" t="str">
        <x:v>CWE-20</x:v>
      </x:c>
      <x:c r="H80" s="7" t="str">
        <x:v>CVE-2026-13006</x:v>
      </x:c>
      <x:c r="I80" s="7" t="n">
        <x:v>144</x:v>
      </x:c>
      <x:c r="J80" s="9" t="str">
        <x:v>PENDIENTE</x:v>
      </x:c>
      <x:c r="K80" s="10" t="n">
        <x:v>46433</x:v>
      </x:c>
      <x:c r="L80" s="7" t="str">
        <x:v>Avance 2027-02-15</x:v>
      </x:c>
      <x:c r="M80" s="8" t="str">
        <x:v>ACE vulnerability in conditional configuration file processing by QOS.CH logback-core in Java applications, allows an attacker to execute arbitrary code, circumventing existing pro</x:v>
      </x:c>
      <x:c r="N80" s="17"/>
      <x:c r="O80" s="17"/>
    </x:row>
    <x:row r="81" ht="39.599998474121094" hidden="0" customHeight="1">
      <x:c r="A81" s="7" t="str">
        <x:v>SIAJ-0299</x:v>
      </x:c>
      <x:c r="B81" s="7" t="str">
        <x:v>SCA</x:v>
      </x:c>
      <x:c r="C81" s="7" t="str">
        <x:v>HIGH</x:v>
      </x:c>
      <x:c r="D81" s="8" t="str">
        <x:v>Dependencia com.fasterxml.jackson.core:jackson-core-2.18.5</x:v>
      </x:c>
      <x:c r="E81" s="7" t="str">
        <x:v>com.fasterxml.jackson.core:jackson-core</x:v>
      </x:c>
      <x:c r="F81" s="7" t="str">
        <x:v>2.18.5</x:v>
      </x:c>
      <x:c r="G81" s="7" t="str">
        <x:v>CWE-770</x:v>
      </x:c>
      <x:c r="H81" s="7" t="str">
        <x:v>Cx2c9af752-2171</x:v>
      </x:c>
      <x:c r="I81" s="7" t="n">
        <x:v>146</x:v>
      </x:c>
      <x:c r="J81" s="9" t="str">
        <x:v>PENDIENTE</x:v>
      </x:c>
      <x:c r="K81" s="10" t="n">
        <x:v>46433</x:v>
      </x:c>
      <x:c r="L81" s="7" t="str">
        <x:v>Avance 2027-02-15</x:v>
      </x:c>
      <x:c r="M81" s="8" t="str">
        <x:v>The fix released in jackson-core `2.18.6` and `2.21.1` for [GHSA-72hv-8253-57qq] (Num ber Length Constraint Bypass in Async Parser, published 2026-02-28) is incomplete. The fix com</x:v>
      </x:c>
      <x:c r="N81" s="17"/>
      <x:c r="O81" s="17"/>
    </x:row>
    <x:row r="82" ht="39.599998474121094" hidden="0" customHeight="1">
      <x:c r="A82" s="7" t="str">
        <x:v>SIAJ-0300</x:v>
      </x:c>
      <x:c r="B82" s="7" t="str">
        <x:v>SCA</x:v>
      </x:c>
      <x:c r="C82" s="7" t="str">
        <x:v>HIGH</x:v>
      </x:c>
      <x:c r="D82" s="8" t="str">
        <x:v>Dependencia com.fasterxml.jackson.core:jackson-core-2.18.5</x:v>
      </x:c>
      <x:c r="E82" s="7" t="str">
        <x:v>com.fasterxml.jackson.core:jackson-core</x:v>
      </x:c>
      <x:c r="F82" s="7" t="str">
        <x:v>2.18.5</x:v>
      </x:c>
      <x:c r="G82" s="7" t="str">
        <x:v>CWE-770</x:v>
      </x:c>
      <x:c r="H82" s="7" t="str">
        <x:v>Cxfa47c4e4-5ef9</x:v>
      </x:c>
      <x:c r="I82" s="7" t="n">
        <x:v>146</x:v>
      </x:c>
      <x:c r="J82" s="9" t="str">
        <x:v>PENDIENTE</x:v>
      </x:c>
      <x:c r="K82" s="10" t="n">
        <x:v>46433</x:v>
      </x:c>
      <x:c r="L82" s="7" t="str">
        <x:v>Avance 2027-02-15</x:v>
      </x:c>
      <x:c r="M82" s="8" t="str">
        <x:v>The non-blocking (async) JSON parser in jackson-core bypasses the "maxNumberLengt h" constraint (default: 1000 characters) defined in "StreamReadConstraints". This allows an attack</x:v>
      </x:c>
      <x:c r="N82" s="17"/>
      <x:c r="O82" s="17"/>
    </x:row>
    <x:row r="83" ht="39.599998474121094" hidden="0" customHeight="1">
      <x:c r="A83" s="7" t="str">
        <x:v>SIAJ-0222</x:v>
      </x:c>
      <x:c r="B83" s="7" t="str">
        <x:v>SCA</x:v>
      </x:c>
      <x:c r="C83" s="7" t="str">
        <x:v>HIGH</x:v>
      </x:c>
      <x:c r="D83" s="8" t="str">
        <x:v>Dependencia com.fasterxml.jackson.core:jackson-databind-2.18.5</x:v>
      </x:c>
      <x:c r="E83" s="7" t="str">
        <x:v>com.fasterxml.jackson.core:jackson-databind</x:v>
      </x:c>
      <x:c r="F83" s="7" t="str">
        <x:v>2.18.5</x:v>
      </x:c>
      <x:c r="G83" s="7" t="str">
        <x:v>CWE-184</x:v>
      </x:c>
      <x:c r="H83" s="7" t="str">
        <x:v>CVE-2026-54512</x:v>
      </x:c>
      <x:c r="I83" s="7" t="n">
        <x:v>118</x:v>
      </x:c>
      <x:c r="J83" s="9" t="str">
        <x:v>PENDIENTE</x:v>
      </x:c>
      <x:c r="K83" s="10" t="n">
        <x:v>46461</x:v>
      </x:c>
      <x:c r="L83" s="7" t="str">
        <x:v>Avance 2027-03-15</x:v>
      </x:c>
      <x:c r="M83" s="8" t="str">
        <x:v>jackson-databind contains the general-purpose data-binding functionality and tree-mod el for Jackson Data Processor. From 2.10.0 prior to 2.18.8, 2.19.x prior to 2.21.4, and 3.x pr</x:v>
      </x:c>
      <x:c r="N83" s="17"/>
      <x:c r="O83" s="17"/>
    </x:row>
    <x:row r="84" ht="39.599998474121094" hidden="0" customHeight="1">
      <x:c r="A84" s="7" t="str">
        <x:v>SIAJ-0223</x:v>
      </x:c>
      <x:c r="B84" s="7" t="str">
        <x:v>SCA</x:v>
      </x:c>
      <x:c r="C84" s="7" t="str">
        <x:v>HIGH</x:v>
      </x:c>
      <x:c r="D84" s="8" t="str">
        <x:v>Dependencia com.fasterxml.jackson.core:jackson-databind-2.18.5</x:v>
      </x:c>
      <x:c r="E84" s="7" t="str">
        <x:v>com.fasterxml.jackson.core:jackson-databind</x:v>
      </x:c>
      <x:c r="F84" s="7" t="str">
        <x:v>2.18.5</x:v>
      </x:c>
      <x:c r="G84" s="7" t="str">
        <x:v>CWE-184</x:v>
      </x:c>
      <x:c r="H84" s="7" t="str">
        <x:v>CVE-2026-54513</x:v>
      </x:c>
      <x:c r="I84" s="7" t="n">
        <x:v>119</x:v>
      </x:c>
      <x:c r="J84" s="9" t="str">
        <x:v>PENDIENTE</x:v>
      </x:c>
      <x:c r="K84" s="10" t="n">
        <x:v>46461</x:v>
      </x:c>
      <x:c r="L84" s="7" t="str">
        <x:v>Avance 2027-03-15</x:v>
      </x:c>
      <x:c r="M84" s="8" t="str">
        <x:v>jackson-databind contains the general-purpose data-binding functionality and tree-mod el for Jackson Data Processor. In versions 2.10.0 prior to 2.18.8, 2.19.0 prior to 2.21.4 and</x:v>
      </x:c>
      <x:c r="N84" s="17"/>
      <x:c r="O84" s="17"/>
    </x:row>
    <x:row r="85" ht="39.599998474121094" hidden="0" customHeight="1">
      <x:c r="A85" s="7" t="str">
        <x:v>SIAJ-0297</x:v>
      </x:c>
      <x:c r="B85" s="7" t="str">
        <x:v>SCA</x:v>
      </x:c>
      <x:c r="C85" s="7" t="str">
        <x:v>HIGH</x:v>
      </x:c>
      <x:c r="D85" s="8" t="str">
        <x:v>Dependencia com.google.protobuf:protobuf-java-3.24.4</x:v>
      </x:c>
      <x:c r="E85" s="7" t="str">
        <x:v>com.google.protobuf:protobuf-java</x:v>
      </x:c>
      <x:c r="F85" s="7" t="str">
        <x:v>3.24.4</x:v>
      </x:c>
      <x:c r="G85" s="7" t="str">
        <x:v>CWE-787</x:v>
      </x:c>
      <x:c r="H85" s="7" t="str">
        <x:v>CVE-2024-7254</x:v>
      </x:c>
      <x:c r="I85" s="7" t="n">
        <x:v>145</x:v>
      </x:c>
      <x:c r="J85" s="9" t="str">
        <x:v>PENDIENTE</x:v>
      </x:c>
      <x:c r="K85" s="10" t="n">
        <x:v>46461</x:v>
      </x:c>
      <x:c r="L85" s="7" t="str">
        <x:v>Avance 2027-03-15</x:v>
      </x:c>
      <x:c r="M85" s="8" t="str">
        <x:v>Any project that parses untrusted Protocol Buffers data containing an arbitrary number o f nested groups/series of SGROUP tags can corrupted by exceeding the stack limit i.e. Stack</x:v>
      </x:c>
      <x:c r="N85" s="17"/>
      <x:c r="O85" s="17"/>
    </x:row>
    <x:row r="86" ht="39.599998474121094" hidden="0" customHeight="1">
      <x:c r="A86" s="7" t="str">
        <x:v>SIAJ-0298</x:v>
      </x:c>
      <x:c r="B86" s="7" t="str">
        <x:v>SCA</x:v>
      </x:c>
      <x:c r="C86" s="7" t="str">
        <x:v>HIGH</x:v>
      </x:c>
      <x:c r="D86" s="8" t="str">
        <x:v>Dependencia com.google.protobuf:protobuf-kotlin-3.24.4</x:v>
      </x:c>
      <x:c r="E86" s="7" t="str">
        <x:v>com.google.protobuf:protobuf-kotlin</x:v>
      </x:c>
      <x:c r="F86" s="7" t="str">
        <x:v>3.24.4</x:v>
      </x:c>
      <x:c r="G86" s="7" t="str">
        <x:v>CWE-787</x:v>
      </x:c>
      <x:c r="H86" s="7" t="str">
        <x:v>CVE-2024-7254</x:v>
      </x:c>
      <x:c r="I86" s="7" t="n">
        <x:v>145</x:v>
      </x:c>
      <x:c r="J86" s="9" t="str">
        <x:v>PENDIENTE</x:v>
      </x:c>
      <x:c r="K86" s="10" t="n">
        <x:v>46461</x:v>
      </x:c>
      <x:c r="L86" s="7" t="str">
        <x:v>Avance 2027-03-15</x:v>
      </x:c>
      <x:c r="M86" s="8" t="str">
        <x:v>Any project that parses untrusted Protocol Buffers data containing an arbitrary number o f nested groups/series of SGROUP tags can corrupted by exceeding the stack limit i.e. Stack</x:v>
      </x:c>
      <x:c r="N86" s="17"/>
      <x:c r="O86" s="17"/>
    </x:row>
    <x:row r="87" ht="52.79999923706055" hidden="0" customHeight="1">
      <x:c r="A87" s="7" t="str">
        <x:v>SIAJ-0305</x:v>
      </x:c>
      <x:c r="B87" s="7" t="str">
        <x:v>SCA</x:v>
      </x:c>
      <x:c r="C87" s="7" t="str">
        <x:v>HIGH</x:v>
      </x:c>
      <x:c r="D87" s="8" t="str">
        <x:v>Dependencia commons-io:commons-io-2.11.0</x:v>
      </x:c>
      <x:c r="E87" s="7" t="str">
        <x:v>commons-io:commons-io</x:v>
      </x:c>
      <x:c r="F87" s="7" t="str">
        <x:v>2.11.0</x:v>
      </x:c>
      <x:c r="G87" s="7" t="str">
        <x:v>CWE-400</x:v>
      </x:c>
      <x:c r="H87" s="7" t="str">
        <x:v>CVE-2024-47554</x:v>
      </x:c>
      <x:c r="I87" s="7" t="n">
        <x:v>148</x:v>
      </x:c>
      <x:c r="J87" s="9" t="str">
        <x:v>PENDIENTE</x:v>
      </x:c>
      <x:c r="K87" s="10" t="n">
        <x:v>46461</x:v>
      </x:c>
      <x:c r="L87" s="7" t="str">
        <x:v>Avance 2027-03-15</x:v>
      </x:c>
      <x:c r="M87" s="8" t="str">
        <x:v>Uncontrolled Resource Consumption vulnerability in Apache Commons IO. The "org.apac he.commons.io.input.XmlStreamReader" class may excessively consume CPU resources when proces sin</x:v>
      </x:c>
      <x:c r="N87" s="17"/>
      <x:c r="O87" s="17"/>
    </x:row>
    <x:row r="88" ht="39.599998474121094" hidden="0" customHeight="1">
      <x:c r="A88" s="7" t="str">
        <x:v>SIAJ-0283</x:v>
      </x:c>
      <x:c r="B88" s="7" t="str">
        <x:v>SCA</x:v>
      </x:c>
      <x:c r="C88" s="7" t="str">
        <x:v>HIGH</x:v>
      </x:c>
      <x:c r="D88" s="8" t="str">
        <x:v>Dependencia inflight-1.0.6</x:v>
      </x:c>
      <x:c r="E88" s="7" t="str">
        <x:v>inflight</x:v>
      </x:c>
      <x:c r="F88" s="7" t="str">
        <x:v>1.0.6</x:v>
      </x:c>
      <x:c r="G88" s="7" t="str">
        <x:v>CWE-772</x:v>
      </x:c>
      <x:c r="H88" s="7" t="str">
        <x:v>Cxdca8e59f-8bfe</x:v>
      </x:c>
      <x:c r="I88" s="7" t="n">
        <x:v>140</x:v>
      </x:c>
      <x:c r="J88" s="9" t="str">
        <x:v>PENDIENTE</x:v>
      </x:c>
      <x:c r="K88" s="10" t="n">
        <x:v>46461</x:v>
      </x:c>
      <x:c r="L88" s="7" t="str">
        <x:v>Avance 2027-03-15</x:v>
      </x:c>
      <x:c r="M88" s="8" t="str">
        <x:v>In NPM `inflight` there is a Memory Leak because some resources are not freed correctly after being used. It appears to affect all versions, as the issue was not addressed and no f</x:v>
      </x:c>
      <x:c r="N88" s="17"/>
      <x:c r="O88" s="17"/>
    </x:row>
    <x:row r="89" ht="52.79999923706055" hidden="0" customHeight="1">
      <x:c r="A89" s="7" t="str">
        <x:v>SIAJ-0256</x:v>
      </x:c>
      <x:c r="B89" s="7" t="str">
        <x:v>SCA</x:v>
      </x:c>
      <x:c r="C89" s="7" t="str">
        <x:v>HIGH</x:v>
      </x:c>
      <x:c r="D89" s="8" t="str">
        <x:v>Dependencia io.netty:netty-codec-4.1.110.Final</x:v>
      </x:c>
      <x:c r="E89" s="7" t="str">
        <x:v>io.netty:netty-codec</x:v>
      </x:c>
      <x:c r="F89" s="7" t="str">
        <x:v>4.1.110.Final</x:v>
      </x:c>
      <x:c r="G89" s="7" t="str">
        <x:v>CWE-400</x:v>
      </x:c>
      <x:c r="H89" s="7" t="str">
        <x:v>CVE-2026-42583</x:v>
      </x:c>
      <x:c r="I89" s="7" t="n">
        <x:v>130</x:v>
      </x:c>
      <x:c r="J89" s="9" t="str">
        <x:v>PENDIENTE</x:v>
      </x:c>
      <x:c r="K89" s="10" t="n">
        <x:v>46461</x:v>
      </x:c>
      <x:c r="L89" s="7" t="str">
        <x:v>Avance 2027-03-15</x:v>
      </x:c>
      <x:c r="M89" s="8" t="str">
        <x:v>Netty is an asynchronous, event-driven network application framework. Prior to 4.1.133.Fi nal and io.netty:netty-codec-compression versions prior to 4.2.13.Final, Lz4FrameDecoder a</x:v>
      </x:c>
      <x:c r="N89" s="17"/>
      <x:c r="O89" s="17"/>
    </x:row>
    <x:row r="90" ht="39.599998474121094" hidden="0" customHeight="1">
      <x:c r="A90" s="7" t="str">
        <x:v>SIAJ-0257</x:v>
      </x:c>
      <x:c r="B90" s="7" t="str">
        <x:v>SCA</x:v>
      </x:c>
      <x:c r="C90" s="7" t="str">
        <x:v>HIGH</x:v>
      </x:c>
      <x:c r="D90" s="8" t="str">
        <x:v>Dependencia io.netty:netty-codec-4.1.110.Final</x:v>
      </x:c>
      <x:c r="E90" s="7" t="str">
        <x:v>io.netty:netty-codec</x:v>
      </x:c>
      <x:c r="F90" s="7" t="str">
        <x:v>4.1.110.Final</x:v>
      </x:c>
      <x:c r="G90" s="7" t="str">
        <x:v>CWE-835</x:v>
      </x:c>
      <x:c r="H90" s="7" t="str">
        <x:v>CVE-2026-59901</x:v>
      </x:c>
      <x:c r="I90" s="7" t="n">
        <x:v>131</x:v>
      </x:c>
      <x:c r="J90" s="9" t="str">
        <x:v>PENDIENTE</x:v>
      </x:c>
      <x:c r="K90" s="10" t="n">
        <x:v>46461</x:v>
      </x:c>
      <x:c r="L90" s="7" t="str">
        <x:v>Avance 2027-03-15</x:v>
      </x:c>
      <x:c r="M90" s="8" t="str">
        <x:v>The `Bzip2Decoder` handler in Netty's compression codec pipeline is vulnerable to a De nial-of-Service (DoS) attack through a malformed bzip2 stream that permanently captures the e</x:v>
      </x:c>
      <x:c r="N90" s="17"/>
      <x:c r="O90" s="17"/>
    </x:row>
    <x:row r="91" ht="52.79999923706055" hidden="0" customHeight="1">
      <x:c r="A91" s="7" t="str">
        <x:v>SIAJ-0266</x:v>
      </x:c>
      <x:c r="B91" s="7" t="str">
        <x:v>SCA</x:v>
      </x:c>
      <x:c r="C91" s="7" t="str">
        <x:v>HIGH</x:v>
      </x:c>
      <x:c r="D91" s="8" t="str">
        <x:v>Dependencia io.netty:netty-codec-4.1.128.Final</x:v>
      </x:c>
      <x:c r="E91" s="7" t="str">
        <x:v>io.netty:netty-codec</x:v>
      </x:c>
      <x:c r="F91" s="7" t="str">
        <x:v>4.1.128.Final</x:v>
      </x:c>
      <x:c r="G91" s="7" t="str">
        <x:v>CWE-400</x:v>
      </x:c>
      <x:c r="H91" s="7" t="str">
        <x:v>CVE-2026-42583</x:v>
      </x:c>
      <x:c r="I91" s="7" t="n">
        <x:v>134</x:v>
      </x:c>
      <x:c r="J91" s="9" t="str">
        <x:v>PENDIENTE</x:v>
      </x:c>
      <x:c r="K91" s="10" t="n">
        <x:v>46461</x:v>
      </x:c>
      <x:c r="L91" s="7" t="str">
        <x:v>Avance 2027-03-15</x:v>
      </x:c>
      <x:c r="M91" s="8" t="str">
        <x:v>Netty is an asynchronous, event-driven network application framework. Prior to 4.1.133.Fi nal and io.netty:netty-codec-compression versions prior to 4.2.13.Final, Lz4FrameDecoder a</x:v>
      </x:c>
      <x:c r="N91" s="17"/>
      <x:c r="O91" s="17"/>
    </x:row>
    <x:row r="92" ht="39.599998474121094" hidden="0" customHeight="1">
      <x:c r="A92" s="7" t="str">
        <x:v>SIAJ-0267</x:v>
      </x:c>
      <x:c r="B92" s="7" t="str">
        <x:v>SCA</x:v>
      </x:c>
      <x:c r="C92" s="7" t="str">
        <x:v>HIGH</x:v>
      </x:c>
      <x:c r="D92" s="8" t="str">
        <x:v>Dependencia io.netty:netty-codec-4.1.128.Final</x:v>
      </x:c>
      <x:c r="E92" s="7" t="str">
        <x:v>io.netty:netty-codec</x:v>
      </x:c>
      <x:c r="F92" s="7" t="str">
        <x:v>4.1.128.Final</x:v>
      </x:c>
      <x:c r="G92" s="7" t="str">
        <x:v>CWE-835</x:v>
      </x:c>
      <x:c r="H92" s="7" t="str">
        <x:v>CVE-2026-59901</x:v>
      </x:c>
      <x:c r="I92" s="7" t="n">
        <x:v>135</x:v>
      </x:c>
      <x:c r="J92" s="9" t="str">
        <x:v>PENDIENTE</x:v>
      </x:c>
      <x:c r="K92" s="10" t="n">
        <x:v>46461</x:v>
      </x:c>
      <x:c r="L92" s="7" t="str">
        <x:v>Avance 2027-03-15</x:v>
      </x:c>
      <x:c r="M92" s="8" t="str">
        <x:v>The `Bzip2Decoder` handler in Netty's compression codec pipeline is vulnerable to a De nial-of-Service (DoS) attack through a malformed bzip2 stream that permanently captures the e</x:v>
      </x:c>
      <x:c r="N92" s="17"/>
      <x:c r="O92" s="17"/>
    </x:row>
    <x:row r="93" ht="52.79999923706055" hidden="0" customHeight="1">
      <x:c r="A93" s="7" t="str">
        <x:v>SIAJ-0334</x:v>
      </x:c>
      <x:c r="B93" s="7" t="str">
        <x:v>SCA</x:v>
      </x:c>
      <x:c r="C93" s="7" t="str">
        <x:v>HIGH</x:v>
      </x:c>
      <x:c r="D93" s="8" t="str">
        <x:v>Dependencia io.netty:netty-codec-4.1.93.Final</x:v>
      </x:c>
      <x:c r="E93" s="7" t="str">
        <x:v>io.netty:netty-codec</x:v>
      </x:c>
      <x:c r="F93" s="7" t="str">
        <x:v>4.1.93.Final</x:v>
      </x:c>
      <x:c r="G93" s="7" t="str">
        <x:v>CWE-400</x:v>
      </x:c>
      <x:c r="H93" s="7" t="str">
        <x:v>CVE-2026-42583</x:v>
      </x:c>
      <x:c r="I93" s="7" t="n">
        <x:v>158</x:v>
      </x:c>
      <x:c r="J93" s="9" t="str">
        <x:v>PENDIENTE</x:v>
      </x:c>
      <x:c r="K93" s="10" t="n">
        <x:v>46461</x:v>
      </x:c>
      <x:c r="L93" s="7" t="str">
        <x:v>Avance 2027-03-15</x:v>
      </x:c>
      <x:c r="M93" s="8" t="str">
        <x:v>Netty is an asynchronous, event-driven network application framework. Prior to 4.1.133.Fi nal and io.netty:netty-codec-compression versions prior to 4.2.13.Final, Lz4FrameDecoder a</x:v>
      </x:c>
      <x:c r="N93" s="17"/>
      <x:c r="O93" s="17"/>
    </x:row>
    <x:row r="94" ht="39.599998474121094" hidden="0" customHeight="1">
      <x:c r="A94" s="7" t="str">
        <x:v>SIAJ-0335</x:v>
      </x:c>
      <x:c r="B94" s="7" t="str">
        <x:v>SCA</x:v>
      </x:c>
      <x:c r="C94" s="7" t="str">
        <x:v>HIGH</x:v>
      </x:c>
      <x:c r="D94" s="8" t="str">
        <x:v>Dependencia io.netty:netty-codec-4.1.93.Final</x:v>
      </x:c>
      <x:c r="E94" s="7" t="str">
        <x:v>io.netty:netty-codec</x:v>
      </x:c>
      <x:c r="F94" s="7" t="str">
        <x:v>4.1.93.Final</x:v>
      </x:c>
      <x:c r="G94" s="7" t="str">
        <x:v>CWE-835</x:v>
      </x:c>
      <x:c r="H94" s="7" t="str">
        <x:v>CVE-2026-59901</x:v>
      </x:c>
      <x:c r="I94" s="7" t="n">
        <x:v>158</x:v>
      </x:c>
      <x:c r="J94" s="9" t="str">
        <x:v>PENDIENTE</x:v>
      </x:c>
      <x:c r="K94" s="10" t="n">
        <x:v>46461</x:v>
      </x:c>
      <x:c r="L94" s="7" t="str">
        <x:v>Avance 2027-03-15</x:v>
      </x:c>
      <x:c r="M94" s="8" t="str">
        <x:v>The `Bzip2Decoder` handler in Netty's compression codec pipeline is vulnerable to a De nial-of-Service (DoS) attack through a malformed bzip2 stream that permanently captures the e</x:v>
      </x:c>
      <x:c r="N94" s="17"/>
      <x:c r="O94" s="17"/>
    </x:row>
    <x:row r="95" ht="39.599998474121094" hidden="0" customHeight="1">
      <x:c r="A95" s="7" t="str">
        <x:v>SIAJ-0270</x:v>
      </x:c>
      <x:c r="B95" s="7" t="str">
        <x:v>SCA</x:v>
      </x:c>
      <x:c r="C95" s="7" t="str">
        <x:v>HIGH</x:v>
      </x:c>
      <x:c r="D95" s="8" t="str">
        <x:v>Dependencia io.netty:netty-codec-http-4.1.110.Final</x:v>
      </x:c>
      <x:c r="E95" s="7" t="str">
        <x:v>io.netty:netty-codec-http</x:v>
      </x:c>
      <x:c r="F95" s="7" t="str">
        <x:v>4.1.110.Final</x:v>
      </x:c>
      <x:c r="G95" s="7" t="str">
        <x:v>CWE-444</x:v>
      </x:c>
      <x:c r="H95" s="7" t="str">
        <x:v>CVE-2026-33870</x:v>
      </x:c>
      <x:c r="I95" s="7" t="n">
        <x:v>136</x:v>
      </x:c>
      <x:c r="J95" s="9" t="str">
        <x:v>PENDIENTE</x:v>
      </x:c>
      <x:c r="K95" s="10" t="n">
        <x:v>46461</x:v>
      </x:c>
      <x:c r="L95" s="7" t="str">
        <x:v>Avance 2027-03-15</x:v>
      </x:c>
      <x:c r="M95" s="8" t="str">
        <x:v>Netty is an asynchronous, event-driven network application framework. In 'netty-microbe nch' versions through 4.1.131.Final and 4.2.x through 4.2.10.Final and 'netty-codec-http' ve</x:v>
      </x:c>
      <x:c r="N95" s="17"/>
      <x:c r="O95" s="17"/>
    </x:row>
    <x:row r="96" ht="39.599998474121094" hidden="0" customHeight="1">
      <x:c r="A96" s="7" t="str">
        <x:v>SIAJ-0271</x:v>
      </x:c>
      <x:c r="B96" s="7" t="str">
        <x:v>SCA</x:v>
      </x:c>
      <x:c r="C96" s="7" t="str">
        <x:v>HIGH</x:v>
      </x:c>
      <x:c r="D96" s="8" t="str">
        <x:v>Dependencia io.netty:netty-codec-http-4.1.110.Final</x:v>
      </x:c>
      <x:c r="E96" s="7" t="str">
        <x:v>io.netty:netty-codec-http</x:v>
      </x:c>
      <x:c r="F96" s="7" t="str">
        <x:v>4.1.110.Final</x:v>
      </x:c>
      <x:c r="G96" s="7" t="str">
        <x:v>CWE-444</x:v>
      </x:c>
      <x:c r="H96" s="7" t="str">
        <x:v>CVE-2026-42585</x:v>
      </x:c>
      <x:c r="I96" s="7" t="n">
        <x:v>136</x:v>
      </x:c>
      <x:c r="J96" s="9" t="str">
        <x:v>PENDIENTE</x:v>
      </x:c>
      <x:c r="K96" s="10" t="n">
        <x:v>46461</x:v>
      </x:c>
      <x:c r="L96" s="7" t="str">
        <x:v>Avance 2027-03-15</x:v>
      </x:c>
      <x:c r="M96" s="8" t="str">
        <x:v>Netty is an asynchronous, event-driven network application framework. Prior to 4.1.133.Fi nal, 4.2.x prior to 4.2.13.Final and 5.0.0.Alpha1 and 5.0.0.Alpha2, Netty incorrectly pars</x:v>
      </x:c>
      <x:c r="N96" s="17"/>
      <x:c r="O96" s="17"/>
    </x:row>
    <x:row r="97" ht="39.599998474121094" hidden="0" customHeight="1">
      <x:c r="A97" s="7" t="str">
        <x:v>SIAJ-0274</x:v>
      </x:c>
      <x:c r="B97" s="7" t="str">
        <x:v>SCA</x:v>
      </x:c>
      <x:c r="C97" s="7" t="str">
        <x:v>HIGH</x:v>
      </x:c>
      <x:c r="D97" s="8" t="str">
        <x:v>Dependencia io.netty:netty-codec-http-4.1.110.Final</x:v>
      </x:c>
      <x:c r="E97" s="7" t="str">
        <x:v>io.netty:netty-codec-http</x:v>
      </x:c>
      <x:c r="F97" s="7" t="str">
        <x:v>4.1.110.Final</x:v>
      </x:c>
      <x:c r="G97" s="7" t="str">
        <x:v>CWE-400</x:v>
      </x:c>
      <x:c r="H97" s="7" t="str">
        <x:v>CVE-2026-42587</x:v>
      </x:c>
      <x:c r="I97" s="7" t="n">
        <x:v>137</x:v>
      </x:c>
      <x:c r="J97" s="9" t="str">
        <x:v>PENDIENTE</x:v>
      </x:c>
      <x:c r="K97" s="10" t="n">
        <x:v>46461</x:v>
      </x:c>
      <x:c r="L97" s="7" t="str">
        <x:v>Avance 2027-03-15</x:v>
      </x:c>
      <x:c r="M97" s="8" t="str">
        <x:v>`HttpContentDecompressor` accepts a `maxAllocation` parameter to limit decompressio n buffer size and prevent decompression bomb attacks. This limit is correctly enforced for gzip</x:v>
      </x:c>
      <x:c r="N97" s="17"/>
      <x:c r="O97" s="17"/>
    </x:row>
    <x:row r="98" ht="39.599998474121094" hidden="0" customHeight="1">
      <x:c r="A98" s="7" t="str">
        <x:v>SIAJ-0275</x:v>
      </x:c>
      <x:c r="B98" s="7" t="str">
        <x:v>SCA</x:v>
      </x:c>
      <x:c r="C98" s="7" t="str">
        <x:v>HIGH</x:v>
      </x:c>
      <x:c r="D98" s="8" t="str">
        <x:v>Dependencia io.netty:netty-codec-http-4.1.110.Final</x:v>
      </x:c>
      <x:c r="E98" s="7" t="str">
        <x:v>io.netty:netty-codec-http</x:v>
      </x:c>
      <x:c r="F98" s="7" t="str">
        <x:v>4.1.110.Final</x:v>
      </x:c>
      <x:c r="G98" s="7" t="str">
        <x:v>CWE-400</x:v>
      </x:c>
      <x:c r="H98" s="7" t="str">
        <x:v>CVE-2026-55831</x:v>
      </x:c>
      <x:c r="I98" s="7" t="n">
        <x:v>137</x:v>
      </x:c>
      <x:c r="J98" s="9" t="str">
        <x:v>PENDIENTE</x:v>
      </x:c>
      <x:c r="K98" s="10" t="n">
        <x:v>46461</x:v>
      </x:c>
      <x:c r="L98" s="7" t="str">
        <x:v>Avance 2027-03-15</x:v>
      </x:c>
      <x:c r="M98" s="8" t="str">
        <x:v>Netty is a network application framework for development of protocol servers and client s. 4.1.x Prior to 4.1.136.Final, and 4.2.x prior to 4.2.16.Final, Netty's SPDY SETTINGS deco</x:v>
      </x:c>
      <x:c r="N98" s="17"/>
      <x:c r="O98" s="17"/>
    </x:row>
    <x:row r="99" ht="39.599998474121094" hidden="0" customHeight="1">
      <x:c r="A99" s="7" t="str">
        <x:v>SIAJ-0276</x:v>
      </x:c>
      <x:c r="B99" s="7" t="str">
        <x:v>SCA</x:v>
      </x:c>
      <x:c r="C99" s="7" t="str">
        <x:v>HIGH</x:v>
      </x:c>
      <x:c r="D99" s="8" t="str">
        <x:v>Dependencia io.netty:netty-codec-http-4.1.110.Final</x:v>
      </x:c>
      <x:c r="E99" s="7" t="str">
        <x:v>io.netty:netty-codec-http</x:v>
      </x:c>
      <x:c r="F99" s="7" t="str">
        <x:v>4.1.110.Final</x:v>
      </x:c>
      <x:c r="G99" s="7" t="str">
        <x:v>CWE-400</x:v>
      </x:c>
      <x:c r="H99" s="7" t="str">
        <x:v>CVE-2026-55833</x:v>
      </x:c>
      <x:c r="I99" s="7" t="n">
        <x:v>138</x:v>
      </x:c>
      <x:c r="J99" s="9" t="str">
        <x:v>PENDIENTE</x:v>
      </x:c>
      <x:c r="K99" s="10" t="n">
        <x:v>46461</x:v>
      </x:c>
      <x:c r="L99" s="7" t="str">
        <x:v>Avance 2027-03-15</x:v>
      </x:c>
      <x:c r="M99" s="8" t="str">
        <x:v>Netty is a network application framework for development of protocol servers and client s. 4.1.x Prior to 4.1.136.Final, and 4.2.x prior to 4.2.16.Final,, Netty SPDY header decodin</x:v>
      </x:c>
      <x:c r="N99" s="17"/>
      <x:c r="O99" s="17"/>
    </x:row>
    <x:row r="100" ht="39.599998474121094" hidden="0" customHeight="1">
      <x:c r="A100" s="7" t="str">
        <x:v>SIAJ-0277</x:v>
      </x:c>
      <x:c r="B100" s="7" t="str">
        <x:v>SCA</x:v>
      </x:c>
      <x:c r="C100" s="7" t="str">
        <x:v>HIGH</x:v>
      </x:c>
      <x:c r="D100" s="8" t="str">
        <x:v>Dependencia io.netty:netty-codec-http-4.1.110.Final</x:v>
      </x:c>
      <x:c r="E100" s="7" t="str">
        <x:v>io.netty:netty-codec-http</x:v>
      </x:c>
      <x:c r="F100" s="7" t="str">
        <x:v>4.1.110.Final</x:v>
      </x:c>
      <x:c r="G100" s="7" t="str">
        <x:v>CWE-400</x:v>
      </x:c>
      <x:c r="H100" s="7" t="str">
        <x:v>CVE-2026-56745</x:v>
      </x:c>
      <x:c r="I100" s="7" t="n">
        <x:v>138</x:v>
      </x:c>
      <x:c r="J100" s="9" t="str">
        <x:v>PENDIENTE</x:v>
      </x:c>
      <x:c r="K100" s="10" t="n">
        <x:v>46492</x:v>
      </x:c>
      <x:c r="L100" s="7" t="str">
        <x:v>Avance 2027-04-15</x:v>
      </x:c>
      <x:c r="M100" s="8" t="str">
        <x:v>Netty is a network application framework for development of protocol servers and client s. In versions 4.2.0.Final through 4.2.15.Final and 4.1.0.Final through 4.1.135.Final, the `</x:v>
      </x:c>
      <x:c r="N100" s="17"/>
      <x:c r="O100" s="17"/>
    </x:row>
    <x:row r="101" ht="39.599998474121094" hidden="0" customHeight="1">
      <x:c r="A101" s="7" t="str">
        <x:v>SIAJ-0284</x:v>
      </x:c>
      <x:c r="B101" s="7" t="str">
        <x:v>SCA</x:v>
      </x:c>
      <x:c r="C101" s="7" t="str">
        <x:v>HIGH</x:v>
      </x:c>
      <x:c r="D101" s="8" t="str">
        <x:v>Dependencia io.netty:netty-codec-http-4.1.128.Final</x:v>
      </x:c>
      <x:c r="E101" s="7" t="str">
        <x:v>io.netty:netty-codec-http</x:v>
      </x:c>
      <x:c r="F101" s="7" t="str">
        <x:v>4.1.128.Final</x:v>
      </x:c>
      <x:c r="G101" s="7" t="str">
        <x:v>CWE-444</x:v>
      </x:c>
      <x:c r="H101" s="7" t="str">
        <x:v>CVE-2026-33870</x:v>
      </x:c>
      <x:c r="I101" s="7" t="n">
        <x:v>140</x:v>
      </x:c>
      <x:c r="J101" s="9" t="str">
        <x:v>PENDIENTE</x:v>
      </x:c>
      <x:c r="K101" s="10" t="n">
        <x:v>46492</x:v>
      </x:c>
      <x:c r="L101" s="7" t="str">
        <x:v>Avance 2027-04-15</x:v>
      </x:c>
      <x:c r="M101" s="8" t="str">
        <x:v>Netty is an asynchronous, event-driven network application framework. In 'netty-microbe nch' versions through 4.1.131.Final and 4.2.x through 4.2.10.Final and 'netty-codec-http' ve</x:v>
      </x:c>
      <x:c r="N101" s="17"/>
      <x:c r="O101" s="17"/>
    </x:row>
    <x:row r="102" ht="39.599998474121094" hidden="0" customHeight="1">
      <x:c r="A102" s="7" t="str">
        <x:v>SIAJ-0285</x:v>
      </x:c>
      <x:c r="B102" s="7" t="str">
        <x:v>SCA</x:v>
      </x:c>
      <x:c r="C102" s="7" t="str">
        <x:v>HIGH</x:v>
      </x:c>
      <x:c r="D102" s="8" t="str">
        <x:v>Dependencia io.netty:netty-codec-http-4.1.128.Final</x:v>
      </x:c>
      <x:c r="E102" s="7" t="str">
        <x:v>io.netty:netty-codec-http</x:v>
      </x:c>
      <x:c r="F102" s="7" t="str">
        <x:v>4.1.128.Final</x:v>
      </x:c>
      <x:c r="G102" s="7" t="str">
        <x:v>CWE-444</x:v>
      </x:c>
      <x:c r="H102" s="7" t="str">
        <x:v>CVE-2026-42585</x:v>
      </x:c>
      <x:c r="I102" s="7" t="n">
        <x:v>141</x:v>
      </x:c>
      <x:c r="J102" s="9" t="str">
        <x:v>PENDIENTE</x:v>
      </x:c>
      <x:c r="K102" s="10" t="n">
        <x:v>46492</x:v>
      </x:c>
      <x:c r="L102" s="7" t="str">
        <x:v>Avance 2027-04-15</x:v>
      </x:c>
      <x:c r="M102" s="8" t="str">
        <x:v>Netty is an asynchronous, event-driven network application framework. Prior to 4.1.133.Fi nal, 4.2.x prior to 4.2.13.Final and 5.0.0.Alpha1 and 5.0.0.Alpha2, Netty incorrectly pars</x:v>
      </x:c>
      <x:c r="N102" s="17"/>
      <x:c r="O102" s="17"/>
    </x:row>
    <x:row r="103" ht="39.599998474121094" hidden="0" customHeight="1">
      <x:c r="A103" s="7" t="str">
        <x:v>SIAJ-0288</x:v>
      </x:c>
      <x:c r="B103" s="7" t="str">
        <x:v>SCA</x:v>
      </x:c>
      <x:c r="C103" s="7" t="str">
        <x:v>HIGH</x:v>
      </x:c>
      <x:c r="D103" s="8" t="str">
        <x:v>Dependencia io.netty:netty-codec-http-4.1.128.Final</x:v>
      </x:c>
      <x:c r="E103" s="7" t="str">
        <x:v>io.netty:netty-codec-http</x:v>
      </x:c>
      <x:c r="F103" s="7" t="str">
        <x:v>4.1.128.Final</x:v>
      </x:c>
      <x:c r="G103" s="7" t="str">
        <x:v>CWE-400</x:v>
      </x:c>
      <x:c r="H103" s="7" t="str">
        <x:v>CVE-2026-42587</x:v>
      </x:c>
      <x:c r="I103" s="7" t="n">
        <x:v>142</x:v>
      </x:c>
      <x:c r="J103" s="9" t="str">
        <x:v>PENDIENTE</x:v>
      </x:c>
      <x:c r="K103" s="10" t="n">
        <x:v>46492</x:v>
      </x:c>
      <x:c r="L103" s="7" t="str">
        <x:v>Avance 2027-04-15</x:v>
      </x:c>
      <x:c r="M103" s="8" t="str">
        <x:v>`HttpContentDecompressor` accepts a `maxAllocation` parameter to limit decompressio n buffer size and prevent decompression bomb attacks. This limit is correctly enforced for gzip</x:v>
      </x:c>
      <x:c r="N103" s="17"/>
      <x:c r="O103" s="17"/>
    </x:row>
    <x:row r="104" ht="39.599998474121094" hidden="0" customHeight="1">
      <x:c r="A104" s="7" t="str">
        <x:v>SIAJ-0289</x:v>
      </x:c>
      <x:c r="B104" s="7" t="str">
        <x:v>SCA</x:v>
      </x:c>
      <x:c r="C104" s="7" t="str">
        <x:v>HIGH</x:v>
      </x:c>
      <x:c r="D104" s="8" t="str">
        <x:v>Dependencia io.netty:netty-codec-http-4.1.128.Final</x:v>
      </x:c>
      <x:c r="E104" s="7" t="str">
        <x:v>io.netty:netty-codec-http</x:v>
      </x:c>
      <x:c r="F104" s="7" t="str">
        <x:v>4.1.128.Final</x:v>
      </x:c>
      <x:c r="G104" s="7" t="str">
        <x:v>CWE-400</x:v>
      </x:c>
      <x:c r="H104" s="7" t="str">
        <x:v>CVE-2026-55831</x:v>
      </x:c>
      <x:c r="I104" s="7" t="n">
        <x:v>142</x:v>
      </x:c>
      <x:c r="J104" s="9" t="str">
        <x:v>PENDIENTE</x:v>
      </x:c>
      <x:c r="K104" s="10" t="n">
        <x:v>46492</x:v>
      </x:c>
      <x:c r="L104" s="7" t="str">
        <x:v>Avance 2027-04-15</x:v>
      </x:c>
      <x:c r="M104" s="8" t="str">
        <x:v>Netty is a network application framework for development of protocol servers and client s. 4.1.x Prior to 4.1.136.Final, and 4.2.x prior to 4.2.16.Final, Netty's SPDY SETTINGS deco</x:v>
      </x:c>
      <x:c r="N104" s="17"/>
      <x:c r="O104" s="17"/>
    </x:row>
    <x:row r="105" ht="39.599998474121094" hidden="0" customHeight="1">
      <x:c r="A105" s="7" t="str">
        <x:v>SIAJ-0290</x:v>
      </x:c>
      <x:c r="B105" s="7" t="str">
        <x:v>SCA</x:v>
      </x:c>
      <x:c r="C105" s="7" t="str">
        <x:v>HIGH</x:v>
      </x:c>
      <x:c r="D105" s="8" t="str">
        <x:v>Dependencia io.netty:netty-codec-http-4.1.128.Final</x:v>
      </x:c>
      <x:c r="E105" s="7" t="str">
        <x:v>io.netty:netty-codec-http</x:v>
      </x:c>
      <x:c r="F105" s="7" t="str">
        <x:v>4.1.128.Final</x:v>
      </x:c>
      <x:c r="G105" s="7" t="str">
        <x:v>CWE-400</x:v>
      </x:c>
      <x:c r="H105" s="7" t="str">
        <x:v>CVE-2026-55833</x:v>
      </x:c>
      <x:c r="I105" s="7" t="n">
        <x:v>142</x:v>
      </x:c>
      <x:c r="J105" s="9" t="str">
        <x:v>PENDIENTE</x:v>
      </x:c>
      <x:c r="K105" s="10" t="n">
        <x:v>46492</x:v>
      </x:c>
      <x:c r="L105" s="7" t="str">
        <x:v>Avance 2027-04-15</x:v>
      </x:c>
      <x:c r="M105" s="8" t="str">
        <x:v>Netty is a network application framework for development of protocol servers and client s. 4.1.x Prior to 4.1.136.Final, and 4.2.x prior to 4.2.16.Final,, Netty SPDY header decodin</x:v>
      </x:c>
      <x:c r="N105" s="17"/>
      <x:c r="O105" s="17"/>
    </x:row>
    <x:row r="106" ht="39.599998474121094" hidden="0" customHeight="1">
      <x:c r="A106" s="7" t="str">
        <x:v>SIAJ-0291</x:v>
      </x:c>
      <x:c r="B106" s="7" t="str">
        <x:v>SCA</x:v>
      </x:c>
      <x:c r="C106" s="7" t="str">
        <x:v>HIGH</x:v>
      </x:c>
      <x:c r="D106" s="8" t="str">
        <x:v>Dependencia io.netty:netty-codec-http-4.1.128.Final</x:v>
      </x:c>
      <x:c r="E106" s="7" t="str">
        <x:v>io.netty:netty-codec-http</x:v>
      </x:c>
      <x:c r="F106" s="7" t="str">
        <x:v>4.1.128.Final</x:v>
      </x:c>
      <x:c r="G106" s="7" t="str">
        <x:v>CWE-400</x:v>
      </x:c>
      <x:c r="H106" s="7" t="str">
        <x:v>CVE-2026-56745</x:v>
      </x:c>
      <x:c r="I106" s="7" t="n">
        <x:v>143</x:v>
      </x:c>
      <x:c r="J106" s="9" t="str">
        <x:v>PENDIENTE</x:v>
      </x:c>
      <x:c r="K106" s="10" t="n">
        <x:v>46492</x:v>
      </x:c>
      <x:c r="L106" s="7" t="str">
        <x:v>Avance 2027-04-15</x:v>
      </x:c>
      <x:c r="M106" s="8" t="str">
        <x:v>Netty is a network application framework for development of protocol servers and client s. In versions 4.2.0.Final through 4.2.15.Final and 4.1.0.Final through 4.1.135.Final, the `</x:v>
      </x:c>
      <x:c r="N106" s="17"/>
      <x:c r="O106" s="17"/>
    </x:row>
    <x:row r="107" ht="39.599998474121094" hidden="0" customHeight="1">
      <x:c r="A107" s="7" t="str">
        <x:v>SIAJ-0306</x:v>
      </x:c>
      <x:c r="B107" s="7" t="str">
        <x:v>SCA</x:v>
      </x:c>
      <x:c r="C107" s="7" t="str">
        <x:v>HIGH</x:v>
      </x:c>
      <x:c r="D107" s="8" t="str">
        <x:v>Dependencia io.netty:netty-codec-http-4.1.93.Final</x:v>
      </x:c>
      <x:c r="E107" s="7" t="str">
        <x:v>io.netty:netty-codec-http</x:v>
      </x:c>
      <x:c r="F107" s="7" t="str">
        <x:v>4.1.93.Final</x:v>
      </x:c>
      <x:c r="G107" s="7" t="str">
        <x:v>CWE-444</x:v>
      </x:c>
      <x:c r="H107" s="7" t="str">
        <x:v>CVE-2026-33870</x:v>
      </x:c>
      <x:c r="I107" s="7" t="n">
        <x:v>149</x:v>
      </x:c>
      <x:c r="J107" s="9" t="str">
        <x:v>PENDIENTE</x:v>
      </x:c>
      <x:c r="K107" s="10" t="n">
        <x:v>46492</x:v>
      </x:c>
      <x:c r="L107" s="7" t="str">
        <x:v>Avance 2027-04-15</x:v>
      </x:c>
      <x:c r="M107" s="8" t="str">
        <x:v>Netty is an asynchronous, event-driven network application framework. In 'netty-microbe nch' versions through 4.1.131.Final and 4.2.x through 4.2.10.Final and 'netty-codec-http' ve</x:v>
      </x:c>
      <x:c r="N107" s="17"/>
      <x:c r="O107" s="17"/>
    </x:row>
    <x:row r="108" ht="39.599998474121094" hidden="0" customHeight="1">
      <x:c r="A108" s="7" t="str">
        <x:v>SIAJ-0307</x:v>
      </x:c>
      <x:c r="B108" s="7" t="str">
        <x:v>SCA</x:v>
      </x:c>
      <x:c r="C108" s="7" t="str">
        <x:v>HIGH</x:v>
      </x:c>
      <x:c r="D108" s="8" t="str">
        <x:v>Dependencia io.netty:netty-codec-http-4.1.93.Final</x:v>
      </x:c>
      <x:c r="E108" s="7" t="str">
        <x:v>io.netty:netty-codec-http</x:v>
      </x:c>
      <x:c r="F108" s="7" t="str">
        <x:v>4.1.93.Final</x:v>
      </x:c>
      <x:c r="G108" s="7" t="str">
        <x:v>CWE-444</x:v>
      </x:c>
      <x:c r="H108" s="7" t="str">
        <x:v>CVE-2026-42585</x:v>
      </x:c>
      <x:c r="I108" s="7" t="n">
        <x:v>149</x:v>
      </x:c>
      <x:c r="J108" s="9" t="str">
        <x:v>PENDIENTE</x:v>
      </x:c>
      <x:c r="K108" s="10" t="n">
        <x:v>46492</x:v>
      </x:c>
      <x:c r="L108" s="7" t="str">
        <x:v>Avance 2027-04-15</x:v>
      </x:c>
      <x:c r="M108" s="8" t="str">
        <x:v>Netty is an asynchronous, event-driven network application framework. Prior to 4.1.133.Fi nal, 4.2.x prior to 4.2.13.Final and 5.0.0.Alpha1 and 5.0.0.Alpha2, Netty incorrectly pars</x:v>
      </x:c>
      <x:c r="N108" s="17"/>
      <x:c r="O108" s="17"/>
    </x:row>
    <x:row r="109" ht="39.599998474121094" hidden="0" customHeight="1">
      <x:c r="A109" s="7" t="str">
        <x:v>SIAJ-0310</x:v>
      </x:c>
      <x:c r="B109" s="7" t="str">
        <x:v>SCA</x:v>
      </x:c>
      <x:c r="C109" s="7" t="str">
        <x:v>HIGH</x:v>
      </x:c>
      <x:c r="D109" s="8" t="str">
        <x:v>Dependencia io.netty:netty-codec-http-4.1.93.Final</x:v>
      </x:c>
      <x:c r="E109" s="7" t="str">
        <x:v>io.netty:netty-codec-http</x:v>
      </x:c>
      <x:c r="F109" s="7" t="str">
        <x:v>4.1.93.Final</x:v>
      </x:c>
      <x:c r="G109" s="7" t="str">
        <x:v>CWE-400</x:v>
      </x:c>
      <x:c r="H109" s="7" t="str">
        <x:v>CVE-2026-42587</x:v>
      </x:c>
      <x:c r="I109" s="7" t="n">
        <x:v>150</x:v>
      </x:c>
      <x:c r="J109" s="9" t="str">
        <x:v>PENDIENTE</x:v>
      </x:c>
      <x:c r="K109" s="10" t="n">
        <x:v>46492</x:v>
      </x:c>
      <x:c r="L109" s="7" t="str">
        <x:v>Avance 2027-04-15</x:v>
      </x:c>
      <x:c r="M109" s="8" t="str">
        <x:v>`HttpContentDecompressor` accepts a `maxAllocation` parameter to limit decompressio n buffer size and prevent decompression bomb attacks. This limit is correctly enforced for gzip</x:v>
      </x:c>
      <x:c r="N109" s="17"/>
      <x:c r="O109" s="17"/>
    </x:row>
    <x:row r="110" ht="39.599998474121094" hidden="0" customHeight="1">
      <x:c r="A110" s="7" t="str">
        <x:v>SIAJ-0311</x:v>
      </x:c>
      <x:c r="B110" s="7" t="str">
        <x:v>SCA</x:v>
      </x:c>
      <x:c r="C110" s="7" t="str">
        <x:v>HIGH</x:v>
      </x:c>
      <x:c r="D110" s="8" t="str">
        <x:v>Dependencia io.netty:netty-codec-http-4.1.93.Final</x:v>
      </x:c>
      <x:c r="E110" s="7" t="str">
        <x:v>io.netty:netty-codec-http</x:v>
      </x:c>
      <x:c r="F110" s="7" t="str">
        <x:v>4.1.93.Final</x:v>
      </x:c>
      <x:c r="G110" s="7" t="str">
        <x:v>CWE-400</x:v>
      </x:c>
      <x:c r="H110" s="7" t="str">
        <x:v>CVE-2026-55831</x:v>
      </x:c>
      <x:c r="I110" s="7" t="n">
        <x:v>150</x:v>
      </x:c>
      <x:c r="J110" s="9" t="str">
        <x:v>PENDIENTE</x:v>
      </x:c>
      <x:c r="K110" s="10" t="n">
        <x:v>46492</x:v>
      </x:c>
      <x:c r="L110" s="7" t="str">
        <x:v>Avance 2027-04-15</x:v>
      </x:c>
      <x:c r="M110" s="8" t="str">
        <x:v>Netty is a network application framework for development of protocol servers and client s. 4.1.x Prior to 4.1.136.Final, and 4.2.x prior to 4.2.16.Final, Netty's SPDY SETTINGS deco</x:v>
      </x:c>
      <x:c r="N110" s="17"/>
      <x:c r="O110" s="17"/>
    </x:row>
    <x:row r="111" ht="39.599998474121094" hidden="0" customHeight="1">
      <x:c r="A111" s="7" t="str">
        <x:v>SIAJ-0312</x:v>
      </x:c>
      <x:c r="B111" s="7" t="str">
        <x:v>SCA</x:v>
      </x:c>
      <x:c r="C111" s="7" t="str">
        <x:v>HIGH</x:v>
      </x:c>
      <x:c r="D111" s="8" t="str">
        <x:v>Dependencia io.netty:netty-codec-http-4.1.93.Final</x:v>
      </x:c>
      <x:c r="E111" s="7" t="str">
        <x:v>io.netty:netty-codec-http</x:v>
      </x:c>
      <x:c r="F111" s="7" t="str">
        <x:v>4.1.93.Final</x:v>
      </x:c>
      <x:c r="G111" s="7" t="str">
        <x:v>CWE-400</x:v>
      </x:c>
      <x:c r="H111" s="7" t="str">
        <x:v>CVE-2026-55833</x:v>
      </x:c>
      <x:c r="I111" s="7" t="n">
        <x:v>151</x:v>
      </x:c>
      <x:c r="J111" s="9" t="str">
        <x:v>PENDIENTE</x:v>
      </x:c>
      <x:c r="K111" s="10" t="n">
        <x:v>46492</x:v>
      </x:c>
      <x:c r="L111" s="7" t="str">
        <x:v>Avance 2027-04-15</x:v>
      </x:c>
      <x:c r="M111" s="8" t="str">
        <x:v>Netty is a network application framework for development of protocol servers and client s. 4.1.x Prior to 4.1.136.Final, and 4.2.x prior to 4.2.16.Final,, Netty SPDY header decodin</x:v>
      </x:c>
      <x:c r="N111" s="17"/>
      <x:c r="O111" s="17"/>
    </x:row>
    <x:row r="112" ht="39.599998474121094" hidden="0" customHeight="1">
      <x:c r="A112" s="7" t="str">
        <x:v>SIAJ-0313</x:v>
      </x:c>
      <x:c r="B112" s="7" t="str">
        <x:v>SCA</x:v>
      </x:c>
      <x:c r="C112" s="7" t="str">
        <x:v>HIGH</x:v>
      </x:c>
      <x:c r="D112" s="8" t="str">
        <x:v>Dependencia io.netty:netty-codec-http-4.1.93.Final</x:v>
      </x:c>
      <x:c r="E112" s="7" t="str">
        <x:v>io.netty:netty-codec-http</x:v>
      </x:c>
      <x:c r="F112" s="7" t="str">
        <x:v>4.1.93.Final</x:v>
      </x:c>
      <x:c r="G112" s="7" t="str">
        <x:v>CWE-400</x:v>
      </x:c>
      <x:c r="H112" s="7" t="str">
        <x:v>CVE-2026-56745</x:v>
      </x:c>
      <x:c r="I112" s="7" t="n">
        <x:v>151</x:v>
      </x:c>
      <x:c r="J112" s="9" t="str">
        <x:v>PENDIENTE</x:v>
      </x:c>
      <x:c r="K112" s="10" t="n">
        <x:v>46492</x:v>
      </x:c>
      <x:c r="L112" s="7" t="str">
        <x:v>Avance 2027-04-15</x:v>
      </x:c>
      <x:c r="M112" s="8" t="str">
        <x:v>Netty is a network application framework for development of protocol servers and client s. In versions 4.2.0.Final through 4.2.15.Final and 4.1.0.Final through 4.1.135.Final, the `</x:v>
      </x:c>
      <x:c r="N112" s="17"/>
      <x:c r="O112" s="17"/>
    </x:row>
    <x:row r="113" ht="39.599998474121094" hidden="0" customHeight="1">
      <x:c r="A113" s="7" t="str">
        <x:v>SIAJ-0321</x:v>
      </x:c>
      <x:c r="B113" s="7" t="str">
        <x:v>SCA</x:v>
      </x:c>
      <x:c r="C113" s="7" t="str">
        <x:v>HIGH</x:v>
      </x:c>
      <x:c r="D113" s="8" t="str">
        <x:v>Dependencia io.netty:netty-codec-http2-4.1.110.Final</x:v>
      </x:c>
      <x:c r="E113" s="7" t="str">
        <x:v>io.netty:netty-codec-http2</x:v>
      </x:c>
      <x:c r="F113" s="7" t="str">
        <x:v>4.1.110.Final</x:v>
      </x:c>
      <x:c r="G113" s="7" t="str">
        <x:v>CWE-770</x:v>
      </x:c>
      <x:c r="H113" s="7" t="str">
        <x:v>CVE-2025-55163</x:v>
      </x:c>
      <x:c r="I113" s="7" t="n">
        <x:v>153</x:v>
      </x:c>
      <x:c r="J113" s="9" t="str">
        <x:v>PENDIENTE</x:v>
      </x:c>
      <x:c r="K113" s="10" t="n">
        <x:v>46492</x:v>
      </x:c>
      <x:c r="L113" s="7" t="str">
        <x:v>Avance 2027-04-15</x:v>
      </x:c>
      <x:c r="M113" s="8" t="str">
        <x:v>Netty is an asynchronous, event-driven network application framework. Netty is vulnerab le to the "MadeYouReset" DDoS attack. This is a logical vulnerability in the HTTP/2 protocol</x:v>
      </x:c>
      <x:c r="N113" s="17"/>
      <x:c r="O113" s="17"/>
    </x:row>
    <x:row r="114" ht="39.599998474121094" hidden="0" customHeight="1">
      <x:c r="A114" s="7" t="str">
        <x:v>SIAJ-0322</x:v>
      </x:c>
      <x:c r="B114" s="7" t="str">
        <x:v>SCA</x:v>
      </x:c>
      <x:c r="C114" s="7" t="str">
        <x:v>HIGH</x:v>
      </x:c>
      <x:c r="D114" s="8" t="str">
        <x:v>Dependencia io.netty:netty-codec-http2-4.1.110.Final</x:v>
      </x:c>
      <x:c r="E114" s="7" t="str">
        <x:v>io.netty:netty-codec-http2</x:v>
      </x:c>
      <x:c r="F114" s="7" t="str">
        <x:v>4.1.110.Final</x:v>
      </x:c>
      <x:c r="G114" s="7" t="str">
        <x:v>CWE-770</x:v>
      </x:c>
      <x:c r="H114" s="7" t="str">
        <x:v>CVE-2026-33871</x:v>
      </x:c>
      <x:c r="I114" s="7" t="n">
        <x:v>154</x:v>
      </x:c>
      <x:c r="J114" s="9" t="str">
        <x:v>PENDIENTE</x:v>
      </x:c>
      <x:c r="K114" s="10" t="n">
        <x:v>46492</x:v>
      </x:c>
      <x:c r="L114" s="7" t="str">
        <x:v>Avance 2027-04-15</x:v>
      </x:c>
      <x:c r="M114" s="8" t="str">
        <x:v>A remote user can trigger a Denial of Service (DoS) against a Netty HTTP/2 server by sen ding a flood of `CONTINUATION` frames. The server's lack of a limit on the number of `CONTI</x:v>
      </x:c>
      <x:c r="N114" s="17"/>
      <x:c r="O114" s="17"/>
    </x:row>
    <x:row r="115" ht="39.599998474121094" hidden="0" customHeight="1">
      <x:c r="A115" s="7" t="str">
        <x:v>SIAJ-0323</x:v>
      </x:c>
      <x:c r="B115" s="7" t="str">
        <x:v>SCA</x:v>
      </x:c>
      <x:c r="C115" s="7" t="str">
        <x:v>HIGH</x:v>
      </x:c>
      <x:c r="D115" s="8" t="str">
        <x:v>Dependencia io.netty:netty-codec-http2-4.1.110.Final</x:v>
      </x:c>
      <x:c r="E115" s="7" t="str">
        <x:v>io.netty:netty-codec-http2</x:v>
      </x:c>
      <x:c r="F115" s="7" t="str">
        <x:v>4.1.110.Final</x:v>
      </x:c>
      <x:c r="G115" s="7" t="str">
        <x:v>CWE-400</x:v>
      </x:c>
      <x:c r="H115" s="7" t="str">
        <x:v>CVE-2026-42587</x:v>
      </x:c>
      <x:c r="I115" s="7" t="n">
        <x:v>154</x:v>
      </x:c>
      <x:c r="J115" s="9" t="str">
        <x:v>PENDIENTE</x:v>
      </x:c>
      <x:c r="K115" s="10" t="n">
        <x:v>46492</x:v>
      </x:c>
      <x:c r="L115" s="7" t="str">
        <x:v>Avance 2027-04-15</x:v>
      </x:c>
      <x:c r="M115" s="8" t="str">
        <x:v>`HttpContentDecompressor` accepts a `maxAllocation` parameter to limit decompressio n buffer size and prevent decompression bomb attacks. This limit is correctly enforced for gzip</x:v>
      </x:c>
      <x:c r="N115" s="17"/>
      <x:c r="O115" s="17"/>
    </x:row>
    <x:row r="116" ht="39.599998474121094" hidden="0" customHeight="1">
      <x:c r="A116" s="7" t="str">
        <x:v>SIAJ-0324</x:v>
      </x:c>
      <x:c r="B116" s="7" t="str">
        <x:v>SCA</x:v>
      </x:c>
      <x:c r="C116" s="7" t="str">
        <x:v>HIGH</x:v>
      </x:c>
      <x:c r="D116" s="8" t="str">
        <x:v>Dependencia io.netty:netty-codec-http2-4.1.110.Final</x:v>
      </x:c>
      <x:c r="E116" s="7" t="str">
        <x:v>io.netty:netty-codec-http2</x:v>
      </x:c>
      <x:c r="F116" s="7" t="str">
        <x:v>4.1.110.Final</x:v>
      </x:c>
      <x:c r="G116" s="7" t="str">
        <x:v>CWE-400</x:v>
      </x:c>
      <x:c r="H116" s="7" t="str">
        <x:v>CVE-2026-48043</x:v>
      </x:c>
      <x:c r="I116" s="7" t="n">
        <x:v>154</x:v>
      </x:c>
      <x:c r="J116" s="9" t="str">
        <x:v>PENDIENTE</x:v>
      </x:c>
      <x:c r="K116" s="10" t="n">
        <x:v>46492</x:v>
      </x:c>
      <x:c r="L116" s="7" t="str">
        <x:v>Avance 2027-04-15</x:v>
      </x:c>
      <x:c r="M116" s="8" t="str">
        <x:v>Netty is a network application framework for development of protocol servers and client s. In netty-codec-http2 prior to versions 4.1.135.Final and 4.2.0.Alpha1 prior to 4.2.15.Fin</x:v>
      </x:c>
      <x:c r="N116" s="17"/>
      <x:c r="O116" s="17"/>
    </x:row>
    <x:row r="117" ht="39.599998474121094" hidden="0" customHeight="1">
      <x:c r="A117" s="7" t="str">
        <x:v>SIAJ-0325</x:v>
      </x:c>
      <x:c r="B117" s="7" t="str">
        <x:v>SCA</x:v>
      </x:c>
      <x:c r="C117" s="7" t="str">
        <x:v>HIGH</x:v>
      </x:c>
      <x:c r="D117" s="8" t="str">
        <x:v>Dependencia io.netty:netty-codec-http2-4.1.110.Final</x:v>
      </x:c>
      <x:c r="E117" s="7" t="str">
        <x:v>io.netty:netty-codec-http2</x:v>
      </x:c>
      <x:c r="F117" s="7" t="str">
        <x:v>4.1.110.Final</x:v>
      </x:c>
      <x:c r="G117" s="7" t="str">
        <x:v>CWE-400</x:v>
      </x:c>
      <x:c r="H117" s="7" t="str">
        <x:v>CVE-2026-56819</x:v>
      </x:c>
      <x:c r="I117" s="7" t="n">
        <x:v>155</x:v>
      </x:c>
      <x:c r="J117" s="9" t="str">
        <x:v>PENDIENTE</x:v>
      </x:c>
      <x:c r="K117" s="10" t="n">
        <x:v>46492</x:v>
      </x:c>
      <x:c r="L117" s="7" t="str">
        <x:v>Avance 2027-04-15</x:v>
      </x:c>
      <x:c r="M117" s="8" t="str">
        <x:v>Netty is a network application framework for development of protocol servers and client s. In versions 4.2.0.Final through 4.2.15.Final and 4.1.0.Final through 4.1.135.Final, a rem</x:v>
      </x:c>
      <x:c r="N117" s="17"/>
      <x:c r="O117" s="17"/>
    </x:row>
    <x:row r="118" ht="39.599998474121094" hidden="0" customHeight="1">
      <x:c r="A118" s="7" t="str">
        <x:v>SIAJ-0327</x:v>
      </x:c>
      <x:c r="B118" s="7" t="str">
        <x:v>SCA</x:v>
      </x:c>
      <x:c r="C118" s="7" t="str">
        <x:v>HIGH</x:v>
      </x:c>
      <x:c r="D118" s="8" t="str">
        <x:v>Dependencia io.netty:netty-codec-http2-4.1.93.Final</x:v>
      </x:c>
      <x:c r="E118" s="7" t="str">
        <x:v>io.netty:netty-codec-http2</x:v>
      </x:c>
      <x:c r="F118" s="7" t="str">
        <x:v>4.1.93.Final</x:v>
      </x:c>
      <x:c r="G118" s="7" t="str">
        <x:v>CWE-400</x:v>
      </x:c>
      <x:c r="H118" s="7" t="str">
        <x:v>CVE-2023-44487</x:v>
      </x:c>
      <x:c r="I118" s="7" t="n">
        <x:v>156</x:v>
      </x:c>
      <x:c r="J118" s="9" t="str">
        <x:v>PENDIENTE</x:v>
      </x:c>
      <x:c r="K118" s="10" t="n">
        <x:v>46522</x:v>
      </x:c>
      <x:c r="L118" s="7" t="str">
        <x:v>Avance 2027-05-15</x:v>
      </x:c>
      <x:c r="M118" s="8" t="str">
        <x:v>The HTTP/2 protocol allows a denial of service (server resource consumption) because r equest cancellation can reset many streams quickly, as exploited in the wild in August throug</x:v>
      </x:c>
      <x:c r="N118" s="17"/>
      <x:c r="O118" s="17"/>
    </x:row>
    <x:row r="119" ht="39.599998474121094" hidden="0" customHeight="1">
      <x:c r="A119" s="7" t="str">
        <x:v>SIAJ-0328</x:v>
      </x:c>
      <x:c r="B119" s="7" t="str">
        <x:v>SCA</x:v>
      </x:c>
      <x:c r="C119" s="7" t="str">
        <x:v>HIGH</x:v>
      </x:c>
      <x:c r="D119" s="8" t="str">
        <x:v>Dependencia io.netty:netty-codec-http2-4.1.93.Final</x:v>
      </x:c>
      <x:c r="E119" s="7" t="str">
        <x:v>io.netty:netty-codec-http2</x:v>
      </x:c>
      <x:c r="F119" s="7" t="str">
        <x:v>4.1.93.Final</x:v>
      </x:c>
      <x:c r="G119" s="7" t="str">
        <x:v>CWE-400</x:v>
      </x:c>
      <x:c r="H119" s="7" t="str">
        <x:v>CVE-2026-42587</x:v>
      </x:c>
      <x:c r="I119" s="7" t="n">
        <x:v>156</x:v>
      </x:c>
      <x:c r="J119" s="9" t="str">
        <x:v>PENDIENTE</x:v>
      </x:c>
      <x:c r="K119" s="10" t="n">
        <x:v>46522</x:v>
      </x:c>
      <x:c r="L119" s="7" t="str">
        <x:v>Avance 2027-05-15</x:v>
      </x:c>
      <x:c r="M119" s="8" t="str">
        <x:v>`HttpContentDecompressor` accepts a `maxAllocation` parameter to limit decompressio n buffer size and prevent decompression bomb attacks. This limit is correctly enforced for gzip</x:v>
      </x:c>
      <x:c r="N119" s="17"/>
      <x:c r="O119" s="17"/>
    </x:row>
    <x:row r="120" ht="39.599998474121094" hidden="0" customHeight="1">
      <x:c r="A120" s="7" t="str">
        <x:v>SIAJ-0329</x:v>
      </x:c>
      <x:c r="B120" s="7" t="str">
        <x:v>SCA</x:v>
      </x:c>
      <x:c r="C120" s="7" t="str">
        <x:v>HIGH</x:v>
      </x:c>
      <x:c r="D120" s="8" t="str">
        <x:v>Dependencia io.netty:netty-codec-http2-4.1.93.Final</x:v>
      </x:c>
      <x:c r="E120" s="7" t="str">
        <x:v>io.netty:netty-codec-http2</x:v>
      </x:c>
      <x:c r="F120" s="7" t="str">
        <x:v>4.1.93.Final</x:v>
      </x:c>
      <x:c r="G120" s="7" t="str">
        <x:v>CWE-400</x:v>
      </x:c>
      <x:c r="H120" s="7" t="str">
        <x:v>CVE-2026-48043</x:v>
      </x:c>
      <x:c r="I120" s="7" t="n">
        <x:v>156</x:v>
      </x:c>
      <x:c r="J120" s="9" t="str">
        <x:v>PENDIENTE</x:v>
      </x:c>
      <x:c r="K120" s="10" t="n">
        <x:v>46522</x:v>
      </x:c>
      <x:c r="L120" s="7" t="str">
        <x:v>Avance 2027-05-15</x:v>
      </x:c>
      <x:c r="M120" s="8" t="str">
        <x:v>Netty is a network application framework for development of protocol servers and client s. In netty-codec-http2 prior to versions 4.1.135.Final and 4.2.0.Alpha1 prior to 4.2.15.Fin</x:v>
      </x:c>
      <x:c r="N120" s="17"/>
      <x:c r="O120" s="17"/>
    </x:row>
    <x:row r="121" ht="39.599998474121094" hidden="0" customHeight="1">
      <x:c r="A121" s="7" t="str">
        <x:v>SIAJ-0330</x:v>
      </x:c>
      <x:c r="B121" s="7" t="str">
        <x:v>SCA</x:v>
      </x:c>
      <x:c r="C121" s="7" t="str">
        <x:v>HIGH</x:v>
      </x:c>
      <x:c r="D121" s="8" t="str">
        <x:v>Dependencia io.netty:netty-codec-http2-4.1.93.Final</x:v>
      </x:c>
      <x:c r="E121" s="7" t="str">
        <x:v>io.netty:netty-codec-http2</x:v>
      </x:c>
      <x:c r="F121" s="7" t="str">
        <x:v>4.1.93.Final</x:v>
      </x:c>
      <x:c r="G121" s="7" t="str">
        <x:v>CWE-400</x:v>
      </x:c>
      <x:c r="H121" s="7" t="str">
        <x:v>CVE-2026-56819</x:v>
      </x:c>
      <x:c r="I121" s="7" t="n">
        <x:v>157</x:v>
      </x:c>
      <x:c r="J121" s="9" t="str">
        <x:v>PENDIENTE</x:v>
      </x:c>
      <x:c r="K121" s="10" t="n">
        <x:v>46522</x:v>
      </x:c>
      <x:c r="L121" s="7" t="str">
        <x:v>Avance 2027-05-15</x:v>
      </x:c>
      <x:c r="M121" s="8" t="str">
        <x:v>Netty is a network application framework for development of protocol servers and client s. In versions 4.2.0.Final through 4.2.15.Final and 4.1.0.Final through 4.1.135.Final, a rem</x:v>
      </x:c>
      <x:c r="N121" s="17"/>
      <x:c r="O121" s="17"/>
    </x:row>
    <x:row r="122" ht="39.599998474121094" hidden="0" customHeight="1">
      <x:c r="A122" s="7" t="str">
        <x:v>SIAJ-0331</x:v>
      </x:c>
      <x:c r="B122" s="7" t="str">
        <x:v>SCA</x:v>
      </x:c>
      <x:c r="C122" s="7" t="str">
        <x:v>HIGH</x:v>
      </x:c>
      <x:c r="D122" s="8" t="str">
        <x:v>Dependencia io.netty:netty-codec-http2-4.1.93.Final</x:v>
      </x:c>
      <x:c r="E122" s="7" t="str">
        <x:v>io.netty:netty-codec-http2</x:v>
      </x:c>
      <x:c r="F122" s="7" t="str">
        <x:v>4.1.93.Final</x:v>
      </x:c>
      <x:c r="G122" s="7" t="str">
        <x:v>CWE-770</x:v>
      </x:c>
      <x:c r="H122" s="7" t="str">
        <x:v>CVE-2025-55163</x:v>
      </x:c>
      <x:c r="I122" s="7" t="n">
        <x:v>157</x:v>
      </x:c>
      <x:c r="J122" s="9" t="str">
        <x:v>PENDIENTE</x:v>
      </x:c>
      <x:c r="K122" s="10" t="n">
        <x:v>46522</x:v>
      </x:c>
      <x:c r="L122" s="7" t="str">
        <x:v>Avance 2027-05-15</x:v>
      </x:c>
      <x:c r="M122" s="8" t="str">
        <x:v>Netty is an asynchronous, event-driven network application framework. Netty is vulnerab le to the "MadeYouReset" DDoS attack. This is a logical vulnerability in the HTTP/2 protocol</x:v>
      </x:c>
      <x:c r="N122" s="17"/>
      <x:c r="O122" s="17"/>
    </x:row>
    <x:row r="123" ht="39.599998474121094" hidden="0" customHeight="1">
      <x:c r="A123" s="7" t="str">
        <x:v>SIAJ-0332</x:v>
      </x:c>
      <x:c r="B123" s="7" t="str">
        <x:v>SCA</x:v>
      </x:c>
      <x:c r="C123" s="7" t="str">
        <x:v>HIGH</x:v>
      </x:c>
      <x:c r="D123" s="8" t="str">
        <x:v>Dependencia io.netty:netty-codec-http2-4.1.93.Final</x:v>
      </x:c>
      <x:c r="E123" s="7" t="str">
        <x:v>io.netty:netty-codec-http2</x:v>
      </x:c>
      <x:c r="F123" s="7" t="str">
        <x:v>4.1.93.Final</x:v>
      </x:c>
      <x:c r="G123" s="7" t="str">
        <x:v>CWE-770</x:v>
      </x:c>
      <x:c r="H123" s="7" t="str">
        <x:v>CVE-2026-33871</x:v>
      </x:c>
      <x:c r="I123" s="7" t="n">
        <x:v>157</x:v>
      </x:c>
      <x:c r="J123" s="9" t="str">
        <x:v>PENDIENTE</x:v>
      </x:c>
      <x:c r="K123" s="10" t="n">
        <x:v>46522</x:v>
      </x:c>
      <x:c r="L123" s="7" t="str">
        <x:v>Avance 2027-05-15</x:v>
      </x:c>
      <x:c r="M123" s="8" t="str">
        <x:v>A remote user can trigger a Denial of Service (DoS) against a Netty HTTP/2 server by sen ding a flood of `CONTINUATION` frames. The server's lack of a limit on the number of `CONTI</x:v>
      </x:c>
      <x:c r="N123" s="17"/>
      <x:c r="O123" s="17"/>
    </x:row>
    <x:row r="124" ht="39.599998474121094" hidden="0" customHeight="1">
      <x:c r="A124" s="7" t="str">
        <x:v>SIAJ-0337</x:v>
      </x:c>
      <x:c r="B124" s="7" t="str">
        <x:v>SCA</x:v>
      </x:c>
      <x:c r="C124" s="7" t="str">
        <x:v>HIGH</x:v>
      </x:c>
      <x:c r="D124" s="8" t="str">
        <x:v>Dependencia io.netty:netty-handler-4.1.110.Final</x:v>
      </x:c>
      <x:c r="E124" s="7" t="str">
        <x:v>io.netty:netty-handler</x:v>
      </x:c>
      <x:c r="F124" s="7" t="str">
        <x:v>4.1.110.Final</x:v>
      </x:c>
      <x:c r="G124" s="7" t="str">
        <x:v>CWE-20</x:v>
      </x:c>
      <x:c r="H124" s="7" t="str">
        <x:v>CVE-2025-24970</x:v>
      </x:c>
      <x:c r="I124" s="7" t="n">
        <x:v>159</x:v>
      </x:c>
      <x:c r="J124" s="9" t="str">
        <x:v>PENDIENTE</x:v>
      </x:c>
      <x:c r="K124" s="10" t="n">
        <x:v>46522</x:v>
      </x:c>
      <x:c r="L124" s="7" t="str">
        <x:v>Avance 2027-05-15</x:v>
      </x:c>
      <x:c r="M124" s="8" t="str">
        <x:v>Netty, an asynchronous, event-driven network application framework, has a vulnerability in version 4.1.91.Final through 4.1.117.Final and 4.2.0.Alpha1 through 4.2.0.RC2. When a spe</x:v>
      </x:c>
      <x:c r="N124" s="17"/>
      <x:c r="O124" s="17"/>
    </x:row>
    <x:row r="125" ht="39.599998474121094" hidden="0" customHeight="1">
      <x:c r="A125" s="7" t="str">
        <x:v>SIAJ-0338</x:v>
      </x:c>
      <x:c r="B125" s="7" t="str">
        <x:v>SCA</x:v>
      </x:c>
      <x:c r="C125" s="7" t="str">
        <x:v>HIGH</x:v>
      </x:c>
      <x:c r="D125" s="8" t="str">
        <x:v>Dependencia io.netty:netty-handler-4.1.110.Final</x:v>
      </x:c>
      <x:c r="E125" s="7" t="str">
        <x:v>io.netty:netty-handler</x:v>
      </x:c>
      <x:c r="F125" s="7" t="str">
        <x:v>4.1.110.Final</x:v>
      </x:c>
      <x:c r="G125" s="7" t="str">
        <x:v>CWE-770</x:v>
      </x:c>
      <x:c r="H125" s="7" t="str">
        <x:v>CVE-2026-45416</x:v>
      </x:c>
      <x:c r="I125" s="7" t="n">
        <x:v>159</x:v>
      </x:c>
      <x:c r="J125" s="9" t="str">
        <x:v>PENDIENTE</x:v>
      </x:c>
      <x:c r="K125" s="10" t="n">
        <x:v>46522</x:v>
      </x:c>
      <x:c r="L125" s="7" t="str">
        <x:v>Avance 2027-05-15</x:v>
      </x:c>
      <x:c r="M125" s="8" t="str">
        <x:v>Netty is a network application framework for development of protocol servers and client s. In netty-handler versions through 4.1.134.Final, 4.2.x through 4.2.14.Final and 5.x throu</x:v>
      </x:c>
      <x:c r="N125" s="17"/>
      <x:c r="O125" s="17"/>
    </x:row>
    <x:row r="126" ht="39.599998474121094" hidden="0" customHeight="1">
      <x:c r="A126" s="7" t="str">
        <x:v>SIAJ-0339</x:v>
      </x:c>
      <x:c r="B126" s="7" t="str">
        <x:v>SCA</x:v>
      </x:c>
      <x:c r="C126" s="7" t="str">
        <x:v>HIGH</x:v>
      </x:c>
      <x:c r="D126" s="8" t="str">
        <x:v>Dependencia io.netty:netty-handler-4.1.110.Final</x:v>
      </x:c>
      <x:c r="E126" s="7" t="str">
        <x:v>io.netty:netty-handler</x:v>
      </x:c>
      <x:c r="F126" s="7" t="str">
        <x:v>4.1.110.Final</x:v>
      </x:c>
      <x:c r="G126" s="7" t="str">
        <x:v>CWE-347</x:v>
      </x:c>
      <x:c r="H126" s="7" t="str">
        <x:v>CVE-2026-50010</x:v>
      </x:c>
      <x:c r="I126" s="7" t="n">
        <x:v>160</x:v>
      </x:c>
      <x:c r="J126" s="9" t="str">
        <x:v>PENDIENTE</x:v>
      </x:c>
      <x:c r="K126" s="10" t="n">
        <x:v>46522</x:v>
      </x:c>
      <x:c r="L126" s="7" t="str">
        <x:v>Avance 2027-05-15</x:v>
      </x:c>
      <x:c r="M126" s="8" t="str">
        <x:v>Netty is a network application framework for development of protocol servers and client s. Prior to version 4.1.135.Final and 4.2.x prior to 4.2.15.Final, 'SimpleTrustManagerFactor</x:v>
      </x:c>
      <x:c r="N126" s="17"/>
      <x:c r="O126" s="17"/>
    </x:row>
    <x:row r="127" ht="39.599998474121094" hidden="0" customHeight="1">
      <x:c r="A127" s="7" t="str">
        <x:v>SIAJ-0343</x:v>
      </x:c>
      <x:c r="B127" s="7" t="str">
        <x:v>SCA</x:v>
      </x:c>
      <x:c r="C127" s="7" t="str">
        <x:v>HIGH</x:v>
      </x:c>
      <x:c r="D127" s="8" t="str">
        <x:v>Dependencia io.netty:netty-handler-4.1.128.Final</x:v>
      </x:c>
      <x:c r="E127" s="7" t="str">
        <x:v>io.netty:netty-handler</x:v>
      </x:c>
      <x:c r="F127" s="7" t="str">
        <x:v>4.1.128.Final</x:v>
      </x:c>
      <x:c r="G127" s="7" t="str">
        <x:v>CWE-770</x:v>
      </x:c>
      <x:c r="H127" s="7" t="str">
        <x:v>CVE-2026-45416</x:v>
      </x:c>
      <x:c r="I127" s="7" t="n">
        <x:v>162</x:v>
      </x:c>
      <x:c r="J127" s="9" t="str">
        <x:v>PENDIENTE</x:v>
      </x:c>
      <x:c r="K127" s="10" t="n">
        <x:v>46522</x:v>
      </x:c>
      <x:c r="L127" s="7" t="str">
        <x:v>Avance 2027-05-15</x:v>
      </x:c>
      <x:c r="M127" s="8" t="str">
        <x:v>Netty is a network application framework for development of protocol servers and client s. In netty-handler versions through 4.1.134.Final, 4.2.x through 4.2.14.Final and 5.x throu</x:v>
      </x:c>
      <x:c r="N127" s="17"/>
      <x:c r="O127" s="17"/>
    </x:row>
    <x:row r="128" ht="39.599998474121094" hidden="0" customHeight="1">
      <x:c r="A128" s="7" t="str">
        <x:v>SIAJ-0344</x:v>
      </x:c>
      <x:c r="B128" s="7" t="str">
        <x:v>SCA</x:v>
      </x:c>
      <x:c r="C128" s="7" t="str">
        <x:v>HIGH</x:v>
      </x:c>
      <x:c r="D128" s="8" t="str">
        <x:v>Dependencia io.netty:netty-handler-4.1.128.Final</x:v>
      </x:c>
      <x:c r="E128" s="7" t="str">
        <x:v>io.netty:netty-handler</x:v>
      </x:c>
      <x:c r="F128" s="7" t="str">
        <x:v>4.1.128.Final</x:v>
      </x:c>
      <x:c r="G128" s="7" t="str">
        <x:v>CWE-347</x:v>
      </x:c>
      <x:c r="H128" s="7" t="str">
        <x:v>CVE-2026-50010</x:v>
      </x:c>
      <x:c r="I128" s="7" t="n">
        <x:v>162</x:v>
      </x:c>
      <x:c r="J128" s="9" t="str">
        <x:v>PENDIENTE</x:v>
      </x:c>
      <x:c r="K128" s="10" t="n">
        <x:v>46522</x:v>
      </x:c>
      <x:c r="L128" s="7" t="str">
        <x:v>Avance 2027-05-15</x:v>
      </x:c>
      <x:c r="M128" s="8" t="str">
        <x:v>Netty is a network application framework for development of protocol servers and client s. Prior to version 4.1.135.Final and 4.2.x prior to 4.2.15.Final, 'SimpleTrustManagerFactor</x:v>
      </x:c>
      <x:c r="N128" s="17"/>
      <x:c r="O128" s="17"/>
    </x:row>
    <x:row r="129" ht="39.599998474121094" hidden="0" customHeight="1">
      <x:c r="A129" s="7" t="str">
        <x:v>SIAJ-0346</x:v>
      </x:c>
      <x:c r="B129" s="7" t="str">
        <x:v>SCA</x:v>
      </x:c>
      <x:c r="C129" s="7" t="str">
        <x:v>HIGH</x:v>
      </x:c>
      <x:c r="D129" s="8" t="str">
        <x:v>Dependencia io.netty:netty-handler-4.1.93.Final</x:v>
      </x:c>
      <x:c r="E129" s="7" t="str">
        <x:v>io.netty:netty-handler</x:v>
      </x:c>
      <x:c r="F129" s="7" t="str">
        <x:v>4.1.93.Final</x:v>
      </x:c>
      <x:c r="G129" s="7" t="str">
        <x:v>CWE-20</x:v>
      </x:c>
      <x:c r="H129" s="7" t="str">
        <x:v>CVE-2025-24970</x:v>
      </x:c>
      <x:c r="I129" s="7" t="n">
        <x:v>163</x:v>
      </x:c>
      <x:c r="J129" s="9" t="str">
        <x:v>PENDIENTE</x:v>
      </x:c>
      <x:c r="K129" s="10" t="n">
        <x:v>46522</x:v>
      </x:c>
      <x:c r="L129" s="7" t="str">
        <x:v>Avance 2027-05-15</x:v>
      </x:c>
      <x:c r="M129" s="8" t="str">
        <x:v>Netty, an asynchronous, event-driven network application framework, has a vulnerability in version 4.1.91.Final through 4.1.117.Final and 4.2.0.Alpha1 through 4.2.0.RC2. When a spe</x:v>
      </x:c>
      <x:c r="N129" s="17"/>
      <x:c r="O129" s="17"/>
    </x:row>
    <x:row r="130" ht="39.599998474121094" hidden="0" customHeight="1">
      <x:c r="A130" s="7" t="str">
        <x:v>SIAJ-0347</x:v>
      </x:c>
      <x:c r="B130" s="7" t="str">
        <x:v>SCA</x:v>
      </x:c>
      <x:c r="C130" s="7" t="str">
        <x:v>HIGH</x:v>
      </x:c>
      <x:c r="D130" s="8" t="str">
        <x:v>Dependencia io.netty:netty-handler-4.1.93.Final</x:v>
      </x:c>
      <x:c r="E130" s="7" t="str">
        <x:v>io.netty:netty-handler</x:v>
      </x:c>
      <x:c r="F130" s="7" t="str">
        <x:v>4.1.93.Final</x:v>
      </x:c>
      <x:c r="G130" s="7" t="str">
        <x:v>CWE-770</x:v>
      </x:c>
      <x:c r="H130" s="7" t="str">
        <x:v>CVE-2026-45416</x:v>
      </x:c>
      <x:c r="I130" s="7" t="n">
        <x:v>163</x:v>
      </x:c>
      <x:c r="J130" s="9" t="str">
        <x:v>PENDIENTE</x:v>
      </x:c>
      <x:c r="K130" s="10" t="n">
        <x:v>46522</x:v>
      </x:c>
      <x:c r="L130" s="7" t="str">
        <x:v>Avance 2027-05-15</x:v>
      </x:c>
      <x:c r="M130" s="8" t="str">
        <x:v>Netty is a network application framework for development of protocol servers and client s. In netty-handler versions through 4.1.134.Final, 4.2.x through 4.2.14.Final and 5.x throu</x:v>
      </x:c>
      <x:c r="N130" s="17"/>
      <x:c r="O130" s="17"/>
    </x:row>
    <x:row r="131" ht="39.599998474121094" hidden="0" customHeight="1">
      <x:c r="A131" s="7" t="str">
        <x:v>SIAJ-0349</x:v>
      </x:c>
      <x:c r="B131" s="7" t="str">
        <x:v>SCA</x:v>
      </x:c>
      <x:c r="C131" s="7" t="str">
        <x:v>HIGH</x:v>
      </x:c>
      <x:c r="D131" s="8" t="str">
        <x:v>Dependencia io.netty:netty-handler-4.1.93.Final</x:v>
      </x:c>
      <x:c r="E131" s="7" t="str">
        <x:v>io.netty:netty-handler</x:v>
      </x:c>
      <x:c r="F131" s="7" t="str">
        <x:v>4.1.93.Final</x:v>
      </x:c>
      <x:c r="G131" s="7" t="str">
        <x:v>CWE-347</x:v>
      </x:c>
      <x:c r="H131" s="7" t="str">
        <x:v>CVE-2026-50010</x:v>
      </x:c>
      <x:c r="I131" s="7" t="n">
        <x:v>164</x:v>
      </x:c>
      <x:c r="J131" s="9" t="str">
        <x:v>PENDIENTE</x:v>
      </x:c>
      <x:c r="K131" s="10" t="n">
        <x:v>46522</x:v>
      </x:c>
      <x:c r="L131" s="7" t="str">
        <x:v>Avance 2027-05-15</x:v>
      </x:c>
      <x:c r="M131" s="8" t="str">
        <x:v>Netty is a network application framework for development of protocol servers and client s. Prior to version 4.1.135.Final and 4.2.x prior to 4.2.15.Final, 'SimpleTrustManagerFactor</x:v>
      </x:c>
      <x:c r="N131" s="17"/>
      <x:c r="O131" s="17"/>
    </x:row>
    <x:row r="132" ht="39.599998474121094" hidden="0" customHeight="1">
      <x:c r="A132" s="7" t="str">
        <x:v>SIAJ-0228</x:v>
      </x:c>
      <x:c r="B132" s="7" t="str">
        <x:v>SCA</x:v>
      </x:c>
      <x:c r="C132" s="7" t="str">
        <x:v>HIGH</x:v>
      </x:c>
      <x:c r="D132" s="8" t="str">
        <x:v>Dependencia org.apache.tomcat.embed:tomcat-embed-core-10.1.49</x:v>
      </x:c>
      <x:c r="E132" s="7" t="str">
        <x:v>org.apache.tomcat.embed:tomcat-embed-core</x:v>
      </x:c>
      <x:c r="F132" s="7" t="str">
        <x:v>10.1.49</x:v>
      </x:c>
      <x:c r="G132" s="7" t="str">
        <x:v>CWE-444</x:v>
      </x:c>
      <x:c r="H132" s="7" t="str">
        <x:v>CVE-2026-24880</x:v>
      </x:c>
      <x:c r="I132" s="7" t="n">
        <x:v>120</x:v>
      </x:c>
      <x:c r="J132" s="9" t="str">
        <x:v>PENDIENTE</x:v>
      </x:c>
      <x:c r="K132" s="10" t="n">
        <x:v>46522</x:v>
      </x:c>
      <x:c r="L132" s="7" t="str">
        <x:v>Avance 2027-05-15</x:v>
      </x:c>
      <x:c r="M132" s="8" t="str">
        <x:v>Inconsistent Interpretation of HTTP Requests ('HTTP Request/Response Smuggling') vuln erability in Apache Tomcat via invalid chunk extension. This issue affects Apache Tomcat: from</x:v>
      </x:c>
      <x:c r="N132" s="17"/>
      <x:c r="O132" s="17"/>
    </x:row>
    <x:row r="133" ht="39.599998474121094" hidden="0" customHeight="1">
      <x:c r="A133" s="7" t="str">
        <x:v>SIAJ-0229</x:v>
      </x:c>
      <x:c r="B133" s="7" t="str">
        <x:v>SCA</x:v>
      </x:c>
      <x:c r="C133" s="7" t="str">
        <x:v>HIGH</x:v>
      </x:c>
      <x:c r="D133" s="8" t="str">
        <x:v>Dependencia org.apache.tomcat.embed:tomcat-embed-core-10.1.49</x:v>
      </x:c>
      <x:c r="E133" s="7" t="str">
        <x:v>org.apache.tomcat.embed:tomcat-embed-core</x:v>
      </x:c>
      <x:c r="F133" s="7" t="str">
        <x:v>10.1.49</x:v>
      </x:c>
      <x:c r="G133" s="7" t="str">
        <x:v>CWE-116</x:v>
      </x:c>
      <x:c r="H133" s="7" t="str">
        <x:v>CVE-2026-34483</x:v>
      </x:c>
      <x:c r="I133" s="7" t="n">
        <x:v>121</x:v>
      </x:c>
      <x:c r="J133" s="9" t="str">
        <x:v>PENDIENTE</x:v>
      </x:c>
      <x:c r="K133" s="10" t="n">
        <x:v>46522</x:v>
      </x:c>
      <x:c r="L133" s="7" t="str">
        <x:v>Avance 2027-05-15</x:v>
      </x:c>
      <x:c r="M133" s="8" t="str">
        <x:v>Improper Encoding or Escaping of Output vulnerability in the JsonAccessLogValve comp onent of Apache Tomcat. This issue affects Apache Tomcat: from 11.0.0-M1 through 11.0.20, from</x:v>
      </x:c>
      <x:c r="N133" s="17"/>
      <x:c r="O133" s="17"/>
    </x:row>
    <x:row r="134" ht="39.599998474121094" hidden="0" customHeight="1">
      <x:c r="A134" s="7" t="str">
        <x:v>SIAJ-0230</x:v>
      </x:c>
      <x:c r="B134" s="7" t="str">
        <x:v>SCA</x:v>
      </x:c>
      <x:c r="C134" s="7" t="str">
        <x:v>HIGH</x:v>
      </x:c>
      <x:c r="D134" s="8" t="str">
        <x:v>Dependencia org.apache.tomcat.embed:tomcat-embed-core-10.1.49</x:v>
      </x:c>
      <x:c r="E134" s="7" t="str">
        <x:v>org.apache.tomcat.embed:tomcat-embed-core</x:v>
      </x:c>
      <x:c r="F134" s="7" t="str">
        <x:v>10.1.49</x:v>
      </x:c>
      <x:c r="G134" s="7" t="str">
        <x:v>CWE-532</x:v>
      </x:c>
      <x:c r="H134" s="7" t="str">
        <x:v>CVE-2026-34487</x:v>
      </x:c>
      <x:c r="I134" s="7" t="n">
        <x:v>121</x:v>
      </x:c>
      <x:c r="J134" s="9" t="str">
        <x:v>PENDIENTE</x:v>
      </x:c>
      <x:c r="K134" s="10" t="n">
        <x:v>46522</x:v>
      </x:c>
      <x:c r="L134" s="7" t="str">
        <x:v>Avance 2027-05-15</x:v>
      </x:c>
      <x:c r="M134" s="8" t="str">
        <x:v>Insertion of Sensitive Information into Log File vulnerability in the cloud membership for c lustering component of Apache Tomcat exposed the Kubernetes bearer token. Affected vers</x:v>
      </x:c>
      <x:c r="N134" s="17"/>
      <x:c r="O134" s="17"/>
    </x:row>
    <x:row r="135" ht="39.599998474121094" hidden="0" customHeight="1">
      <x:c r="A135" s="7" t="str">
        <x:v>SIAJ-0231</x:v>
      </x:c>
      <x:c r="B135" s="7" t="str">
        <x:v>SCA</x:v>
      </x:c>
      <x:c r="C135" s="7" t="str">
        <x:v>HIGH</x:v>
      </x:c>
      <x:c r="D135" s="8" t="str">
        <x:v>Dependencia org.apache.tomcat.embed:tomcat-embed-core-10.1.49</x:v>
      </x:c>
      <x:c r="E135" s="7" t="str">
        <x:v>org.apache.tomcat.embed:tomcat-embed-core</x:v>
      </x:c>
      <x:c r="F135" s="7" t="str">
        <x:v>10.1.49</x:v>
      </x:c>
      <x:c r="G135" s="7" t="str">
        <x:v>CWE-770</x:v>
      </x:c>
      <x:c r="H135" s="7" t="str">
        <x:v>CVE-2026-41284</x:v>
      </x:c>
      <x:c r="I135" s="7" t="n">
        <x:v>122</x:v>
      </x:c>
      <x:c r="J135" s="9" t="str">
        <x:v>PENDIENTE</x:v>
      </x:c>
      <x:c r="K135" s="10" t="n">
        <x:v>46522</x:v>
      </x:c>
      <x:c r="L135" s="7" t="str">
        <x:v>Avance 2027-05-15</x:v>
      </x:c>
      <x:c r="M135" s="8" t="str">
        <x:v>Allocation of Resources Without Limits or Throttling vulnerability in Apache Tomcat. Apac he Tomcat versions 9.0.0.M1 through 9.0.117, 10.1.0-M1 through 10.1.54, and 11.0.0-M1 thro</x:v>
      </x:c>
      <x:c r="N135" s="17"/>
      <x:c r="O135" s="17"/>
    </x:row>
    <x:row r="136" ht="39.599998474121094" hidden="0" customHeight="1">
      <x:c r="A136" s="7" t="str">
        <x:v>SIAJ-0232</x:v>
      </x:c>
      <x:c r="B136" s="7" t="str">
        <x:v>SCA</x:v>
      </x:c>
      <x:c r="C136" s="7" t="str">
        <x:v>HIGH</x:v>
      </x:c>
      <x:c r="D136" s="8" t="str">
        <x:v>Dependencia org.apache.tomcat.embed:tomcat-embed-core-10.1.49</x:v>
      </x:c>
      <x:c r="E136" s="7" t="str">
        <x:v>org.apache.tomcat.embed:tomcat-embed-core</x:v>
      </x:c>
      <x:c r="F136" s="7" t="str">
        <x:v>10.1.49</x:v>
      </x:c>
      <x:c r="G136" s="7" t="str">
        <x:v>CWE-200</x:v>
      </x:c>
      <x:c r="H136" s="7" t="str">
        <x:v>CVE-2026-42498</x:v>
      </x:c>
      <x:c r="I136" s="7" t="n">
        <x:v>122</x:v>
      </x:c>
      <x:c r="J136" s="9" t="str">
        <x:v>PENDIENTE</x:v>
      </x:c>
      <x:c r="K136" s="10" t="n">
        <x:v>46553</x:v>
      </x:c>
      <x:c r="L136" s="7" t="str">
        <x:v>Avance 2027-06-15</x:v>
      </x:c>
      <x:c r="M136" s="8" t="str">
        <x:v>Exposure of HTTP Authentication Header to unexpected hosts during WebSocket authen tication vulnerability in Apache Tomcat. This issue affects Apache Tomcat versions 7.0.83 through</x:v>
      </x:c>
      <x:c r="N136" s="17"/>
      <x:c r="O136" s="17"/>
    </x:row>
    <x:row r="137" ht="39.599998474121094" hidden="0" customHeight="1">
      <x:c r="A137" s="7" t="str">
        <x:v>SIAJ-0233</x:v>
      </x:c>
      <x:c r="B137" s="7" t="str">
        <x:v>SCA</x:v>
      </x:c>
      <x:c r="C137" s="7" t="str">
        <x:v>HIGH</x:v>
      </x:c>
      <x:c r="D137" s="8" t="str">
        <x:v>Dependencia org.apache.tomcat.embed:tomcat-embed-core-10.1.49</x:v>
      </x:c>
      <x:c r="E137" s="7" t="str">
        <x:v>org.apache.tomcat.embed:tomcat-embed-core</x:v>
      </x:c>
      <x:c r="F137" s="7" t="str">
        <x:v>10.1.49</x:v>
      </x:c>
      <x:c r="G137" s="7" t="str">
        <x:v>CWE-178</x:v>
      </x:c>
      <x:c r="H137" s="7" t="str">
        <x:v>CVE-2026-43513</x:v>
      </x:c>
      <x:c r="I137" s="7" t="n">
        <x:v>122</x:v>
      </x:c>
      <x:c r="J137" s="9" t="str">
        <x:v>PENDIENTE</x:v>
      </x:c>
      <x:c r="K137" s="10" t="n">
        <x:v>46553</x:v>
      </x:c>
      <x:c r="L137" s="7" t="str">
        <x:v>Avance 2027-06-15</x:v>
      </x:c>
      <x:c r="M137" s="8" t="str">
        <x:v>Improper Handling of Case Sensitivity vulnerability in LockOutRealm in Apache Tomcat. T his issue affects Apache Tomcat: from 11.0.0-M1 through 11.0.21, from 10.1.0-M1 through 10.1</x:v>
      </x:c>
      <x:c r="N137" s="17"/>
      <x:c r="O137" s="17"/>
    </x:row>
    <x:row r="138" ht="39.599998474121094" hidden="0" customHeight="1">
      <x:c r="A138" s="7" t="str">
        <x:v>SIAJ-0261</x:v>
      </x:c>
      <x:c r="B138" s="7" t="str">
        <x:v>SCA</x:v>
      </x:c>
      <x:c r="C138" s="7" t="str">
        <x:v>HIGH</x:v>
      </x:c>
      <x:c r="D138" s="8" t="str">
        <x:v>Dependencia org.assertj:assertj-core-3.26.3</x:v>
      </x:c>
      <x:c r="E138" s="7" t="str">
        <x:v>org.assertj:assertj-core</x:v>
      </x:c>
      <x:c r="F138" s="7" t="str">
        <x:v>3.26.3</x:v>
      </x:c>
      <x:c r="G138" s="7" t="str">
        <x:v>CWE-611</x:v>
      </x:c>
      <x:c r="H138" s="7" t="str">
        <x:v>CVE-2026-24400</x:v>
      </x:c>
      <x:c r="I138" s="7" t="n">
        <x:v>133</x:v>
      </x:c>
      <x:c r="J138" s="9" t="str">
        <x:v>PENDIENTE</x:v>
      </x:c>
      <x:c r="K138" s="10" t="n">
        <x:v>46553</x:v>
      </x:c>
      <x:c r="L138" s="7" t="str">
        <x:v>Avance 2027-06-15</x:v>
      </x:c>
      <x:c r="M138" s="8" t="str">
        <x:v>AssertJ provides Fluent testing assertions for Java and the Java Virtual Machine (JVM). Starting in version 1.4.0 prior to 3.27.7 and 4.0.0-M1, an XML External Entity (XXE) vulnera</x:v>
      </x:c>
      <x:c r="N138" s="17"/>
      <x:c r="O138" s="17"/>
    </x:row>
    <x:row r="139" ht="39.599998474121094" hidden="0" customHeight="1">
      <x:c r="A139" s="7" t="str">
        <x:v>SIAJ-0302</x:v>
      </x:c>
      <x:c r="B139" s="7" t="str">
        <x:v>SCA</x:v>
      </x:c>
      <x:c r="C139" s="7" t="str">
        <x:v>HIGH</x:v>
      </x:c>
      <x:c r="D139" s="8" t="str">
        <x:v>Dependencia org.asynchttpclient:async-http-client-2.10.4</x:v>
      </x:c>
      <x:c r="E139" s="7" t="str">
        <x:v>org.asynchttpclient:async-http-client</x:v>
      </x:c>
      <x:c r="F139" s="7" t="str">
        <x:v>2.10.4</x:v>
      </x:c>
      <x:c r="G139" s="7" t="str">
        <x:v>CWE-200</x:v>
      </x:c>
      <x:c r="H139" s="7" t="str">
        <x:v>CVE-2026-45300</x:v>
      </x:c>
      <x:c r="I139" s="7" t="n">
        <x:v>147</x:v>
      </x:c>
      <x:c r="J139" s="9" t="str">
        <x:v>PENDIENTE</x:v>
      </x:c>
      <x:c r="K139" s="10" t="n">
        <x:v>46553</x:v>
      </x:c>
      <x:c r="L139" s="7" t="str">
        <x:v>Avance 2027-06-15</x:v>
      </x:c>
      <x:c r="M139" s="8" t="str">
        <x:v>async-http-client leaks `Cookie` headers to cross-origin redirect targets. When following a redirect across a security boundary (different origin, or HTTPS-HTTP downgrade), the `pr</x:v>
      </x:c>
      <x:c r="N139" s="17"/>
      <x:c r="O139" s="17"/>
    </x:row>
    <x:row r="140" ht="26.399999618530273" hidden="0" customHeight="1">
      <x:c r="A140" s="7" t="str">
        <x:v>SIAJ-0262</x:v>
      </x:c>
      <x:c r="B140" s="7" t="str">
        <x:v>SCA</x:v>
      </x:c>
      <x:c r="C140" s="7" t="str">
        <x:v>HIGH</x:v>
      </x:c>
      <x:c r="D140" s="8" t="str">
        <x:v>Dependencia org.bitbucket.b_c:jose4j-0.7.0</x:v>
      </x:c>
      <x:c r="E140" s="7" t="str">
        <x:v>org.bitbucket.b_c:jose4j</x:v>
      </x:c>
      <x:c r="F140" s="7" t="str">
        <x:v>0.7.0</x:v>
      </x:c>
      <x:c r="G140" s="7" t="str">
        <x:v>CWE-331</x:v>
      </x:c>
      <x:c r="H140" s="7" t="str">
        <x:v>CVE-2023-31582</x:v>
      </x:c>
      <x:c r="I140" s="7" t="n">
        <x:v>133</x:v>
      </x:c>
      <x:c r="J140" s="9" t="str">
        <x:v>PENDIENTE</x:v>
      </x:c>
      <x:c r="K140" s="10" t="n">
        <x:v>46553</x:v>
      </x:c>
      <x:c r="L140" s="7" t="str">
        <x:v>Avance 2027-06-15</x:v>
      </x:c>
      <x:c r="M140" s="8" t="str">
        <x:v>The package org.bitbucket.b_c:jose4j versions prior to v0.9.3 allows attackers to set a lo w 'iterationCount' of 1000 or less.</x:v>
      </x:c>
      <x:c r="N140" s="17"/>
      <x:c r="O140" s="17"/>
    </x:row>
    <x:row r="141" ht="39.599998474121094" hidden="0" customHeight="1">
      <x:c r="A141" s="7" t="str">
        <x:v>SIAJ-0263</x:v>
      </x:c>
      <x:c r="B141" s="7" t="str">
        <x:v>SCA</x:v>
      </x:c>
      <x:c r="C141" s="7" t="str">
        <x:v>HIGH</x:v>
      </x:c>
      <x:c r="D141" s="8" t="str">
        <x:v>Dependencia org.bitbucket.b_c:jose4j-0.7.0</x:v>
      </x:c>
      <x:c r="E141" s="7" t="str">
        <x:v>org.bitbucket.b_c:jose4j</x:v>
      </x:c>
      <x:c r="F141" s="7" t="str">
        <x:v>0.7.0</x:v>
      </x:c>
      <x:c r="G141" s="7" t="str">
        <x:v>CWE-400</x:v>
      </x:c>
      <x:c r="H141" s="7" t="str">
        <x:v>CVE-2023-51775</x:v>
      </x:c>
      <x:c r="I141" s="7" t="n">
        <x:v>133</x:v>
      </x:c>
      <x:c r="J141" s="9" t="str">
        <x:v>PENDIENTE</x:v>
      </x:c>
      <x:c r="K141" s="10" t="n">
        <x:v>46553</x:v>
      </x:c>
      <x:c r="L141" s="7" t="str">
        <x:v>Avance 2027-06-15</x:v>
      </x:c>
      <x:c r="M141" s="8" t="str">
        <x:v>The jose4j component prior to 0.9.4 for Java allows attackers to cause a denial of service (CPU consumption) via a large p2c (aka PBES2 Count) value.</x:v>
      </x:c>
      <x:c r="N141" s="17"/>
      <x:c r="O141" s="17"/>
    </x:row>
    <x:row r="142" ht="39.599998474121094" hidden="0" customHeight="1">
      <x:c r="A142" s="7" t="str">
        <x:v>SIAJ-0264</x:v>
      </x:c>
      <x:c r="B142" s="7" t="str">
        <x:v>SCA</x:v>
      </x:c>
      <x:c r="C142" s="7" t="str">
        <x:v>HIGH</x:v>
      </x:c>
      <x:c r="D142" s="8" t="str">
        <x:v>Dependencia org.bitbucket.b_c:jose4j-0.7.0</x:v>
      </x:c>
      <x:c r="E142" s="7" t="str">
        <x:v>org.bitbucket.b_c:jose4j</x:v>
      </x:c>
      <x:c r="F142" s="7" t="str">
        <x:v>0.7.0</x:v>
      </x:c>
      <x:c r="G142" s="7" t="str">
        <x:v>CWE-1259</x:v>
      </x:c>
      <x:c r="H142" s="7" t="str">
        <x:v>CVE-2024-29371</x:v>
      </x:c>
      <x:c r="I142" s="7" t="n">
        <x:v>134</x:v>
      </x:c>
      <x:c r="J142" s="9" t="str">
        <x:v>PENDIENTE</x:v>
      </x:c>
      <x:c r="K142" s="10" t="n">
        <x:v>46553</x:v>
      </x:c>
      <x:c r="L142" s="7" t="str">
        <x:v>Avance 2027-06-15</x:v>
      </x:c>
      <x:c r="M142" s="8" t="str">
        <x:v>In jose4j versions prior to 0.9.6, an attacker can cause a Denial-of-Service (DoS) conditio n by crafting a malicious JSON Web Encryption (JWE) token with an exceptionally high com</x:v>
      </x:c>
      <x:c r="N142" s="17"/>
      <x:c r="O142" s="17"/>
    </x:row>
    <x:row r="143" ht="39.599998474121094" hidden="0" customHeight="1">
      <x:c r="A143" s="7" t="str">
        <x:v>SIAJ-0265</x:v>
      </x:c>
      <x:c r="B143" s="7" t="str">
        <x:v>SCA</x:v>
      </x:c>
      <x:c r="C143" s="7" t="str">
        <x:v>HIGH</x:v>
      </x:c>
      <x:c r="D143" s="8" t="str">
        <x:v>Dependencia org.bitbucket.b_c:jose4j-0.7.0</x:v>
      </x:c>
      <x:c r="E143" s="7" t="str">
        <x:v>org.bitbucket.b_c:jose4j</x:v>
      </x:c>
      <x:c r="F143" s="7" t="str">
        <x:v>0.7.0</x:v>
      </x:c>
      <x:c r="G143" s="7" t="str">
        <x:v>CWE-327</x:v>
      </x:c>
      <x:c r="H143" s="7" t="str">
        <x:v>Cx8bc13cba-30bf</x:v>
      </x:c>
      <x:c r="I143" s="7" t="n">
        <x:v>134</x:v>
      </x:c>
      <x:c r="J143" s="9" t="str">
        <x:v>PENDIENTE</x:v>
      </x:c>
      <x:c r="K143" s="10" t="n">
        <x:v>46553</x:v>
      </x:c>
      <x:c r="L143" s="7" t="str">
        <x:v>Avance 2027-06-15</x:v>
      </x:c>
      <x:c r="M143" s="8" t="str">
        <x:v>RSA1_5 in jose4j is susceptible to chosen ciphertext attacks. The attack allows to decrypt "RSA1_5" or "RSA_OAEP" encrypted ciphertexts. It may be feasible to sign with affected ke</x:v>
      </x:c>
      <x:c r="N143" s="17"/>
      <x:c r="O143" s="17"/>
    </x:row>
    <x:row r="144" ht="39.599998474121094" hidden="0" customHeight="1">
      <x:c r="A144" s="7" t="str">
        <x:v>SIAJ-0244</x:v>
      </x:c>
      <x:c r="B144" s="7" t="str">
        <x:v>SCA</x:v>
      </x:c>
      <x:c r="C144" s="7" t="str">
        <x:v>HIGH</x:v>
      </x:c>
      <x:c r="D144" s="8" t="str">
        <x:v>Dependencia org.bouncycastle:bcprov-jdk18on-1.78</x:v>
      </x:c>
      <x:c r="E144" s="7" t="str">
        <x:v>org.bouncycastle:bcprov-jdk18on</x:v>
      </x:c>
      <x:c r="F144" s="7" t="n">
        <x:v>1.78</x:v>
      </x:c>
      <x:c r="G144" s="7" t="str">
        <x:v>CWE-385</x:v>
      </x:c>
      <x:c r="H144" s="7" t="str">
        <x:v>CVE-2026-5598</x:v>
      </x:c>
      <x:c r="I144" s="7" t="n">
        <x:v>126</x:v>
      </x:c>
      <x:c r="J144" s="9" t="str">
        <x:v>PENDIENTE</x:v>
      </x:c>
      <x:c r="K144" s="10" t="n">
        <x:v>46553</x:v>
      </x:c>
      <x:c r="L144" s="7" t="str">
        <x:v>Avance 2027-06-15</x:v>
      </x:c>
      <x:c r="M144" s="8" t="str">
        <x:v>Covert timing channel vulnerability in Legion of the Bouncy Castle Inc. BC-JAVA core on all (core modules). Non-constant time comparisons risk private key leakage in FrodoKEM. This</x:v>
      </x:c>
      <x:c r="N144" s="17"/>
      <x:c r="O144" s="17"/>
    </x:row>
    <x:row r="145" ht="39.599998474121094" hidden="0" customHeight="1">
      <x:c r="A145" s="7" t="str">
        <x:v>SIAJ-0259</x:v>
      </x:c>
      <x:c r="B145" s="7" t="str">
        <x:v>SCA</x:v>
      </x:c>
      <x:c r="C145" s="7" t="str">
        <x:v>HIGH</x:v>
      </x:c>
      <x:c r="D145" s="8" t="str">
        <x:v>Dependencia org.postgresql:postgresql-42.7.8</x:v>
      </x:c>
      <x:c r="E145" s="7" t="str">
        <x:v>org.postgresql:postgresql</x:v>
      </x:c>
      <x:c r="F145" s="7" t="str">
        <x:v>42.7.8</x:v>
      </x:c>
      <x:c r="G145" s="7" t="str">
        <x:v>CWE-636</x:v>
      </x:c>
      <x:c r="H145" s="7" t="str">
        <x:v>CVE-2026-54291</x:v>
      </x:c>
      <x:c r="I145" s="7" t="n">
        <x:v>132</x:v>
      </x:c>
      <x:c r="J145" s="9" t="str">
        <x:v>PENDIENTE</x:v>
      </x:c>
      <x:c r="K145" s="10" t="n">
        <x:v>46553</x:v>
      </x:c>
      <x:c r="L145" s="7" t="str">
        <x:v>Avance 2027-06-15</x:v>
      </x:c>
      <x:c r="M145" s="8" t="str">
        <x:v>pgjdbc is an open source postgresql JDBC Driver. In releases 42.7.4 through 42.7.11, chan nelBinding=require connections can be silently downgraded from SCRAM-SHA-256-PLUS with cha</x:v>
      </x:c>
      <x:c r="N145" s="17"/>
      <x:c r="O145" s="17"/>
    </x:row>
    <x:row r="146" ht="39.599998474121094" hidden="0" customHeight="1">
      <x:c r="A146" s="7" t="str">
        <x:v>SIAJ-0260</x:v>
      </x:c>
      <x:c r="B146" s="7" t="str">
        <x:v>SCA</x:v>
      </x:c>
      <x:c r="C146" s="7" t="str">
        <x:v>HIGH</x:v>
      </x:c>
      <x:c r="D146" s="8" t="str">
        <x:v>Dependencia org.postgresql:postgresql-42.7.8</x:v>
      </x:c>
      <x:c r="E146" s="7" t="str">
        <x:v>org.postgresql:postgresql</x:v>
      </x:c>
      <x:c r="F146" s="7" t="str">
        <x:v>42.7.8</x:v>
      </x:c>
      <x:c r="G146" s="7" t="str">
        <x:v>CWE-770</x:v>
      </x:c>
      <x:c r="H146" s="7" t="str">
        <x:v>CVE-2026-42198</x:v>
      </x:c>
      <x:c r="I146" s="7" t="n">
        <x:v>132</x:v>
      </x:c>
      <x:c r="J146" s="9" t="str">
        <x:v>PENDIENTE</x:v>
      </x:c>
      <x:c r="K146" s="10" t="n">
        <x:v>46553</x:v>
      </x:c>
      <x:c r="L146" s="7" t="str">
        <x:v>Avance 2027-06-15</x:v>
      </x:c>
      <x:c r="M146" s="8" t="str">
        <x:v>pgjdbc is an open source postgresql JDBC Driver. From version 42.2.0 prior to version 4 2.7.11, pgjdbc is vulnerable to a client-side denial of service during SCRAM-SHA-256 authent</x:v>
      </x:c>
      <x:c r="N146" s="17"/>
      <x:c r="O146" s="17"/>
    </x:row>
    <x:row r="147" ht="39.599998474121094" hidden="0" customHeight="1">
      <x:c r="A147" s="7" t="str">
        <x:v>SIAJ-0353</x:v>
      </x:c>
      <x:c r="B147" s="7" t="str">
        <x:v>SCA</x:v>
      </x:c>
      <x:c r="C147" s="7" t="str">
        <x:v>HIGH</x:v>
      </x:c>
      <x:c r="D147" s="8" t="str">
        <x:v>Dependencia org.springframework:spring-core-6.2.14</x:v>
      </x:c>
      <x:c r="E147" s="7" t="str">
        <x:v>org.springframework:spring-core</x:v>
      </x:c>
      <x:c r="F147" s="7" t="str">
        <x:v>6.2.14</x:v>
      </x:c>
      <x:c r="G147" s="7" t="str">
        <x:v>CWE-770</x:v>
      </x:c>
      <x:c r="H147" s="7" t="str">
        <x:v>CVE-2026-41851</x:v>
      </x:c>
      <x:c r="I147" s="7" t="n">
        <x:v>166</x:v>
      </x:c>
      <x:c r="J147" s="9" t="str">
        <x:v>PENDIENTE</x:v>
      </x:c>
      <x:c r="K147" s="10" t="n">
        <x:v>46553</x:v>
      </x:c>
      <x:c r="L147" s="7" t="str">
        <x:v>Avance 2027-06-15</x:v>
      </x:c>
      <x:c r="M147" s="8" t="str">
        <x:v>Applications which accept user-supplied Spring Expression Language (SpEL) expressions may be vulnerable to a Denial of Service (DoS) attack if the evaluation of a SpEL expression t</x:v>
      </x:c>
      <x:c r="N147" s="17"/>
      <x:c r="O147" s="17"/>
    </x:row>
    <x:row r="148" ht="39.599998474121094" hidden="0" customHeight="1">
      <x:c r="A148" s="7" t="str">
        <x:v>SIAJ-0354</x:v>
      </x:c>
      <x:c r="B148" s="7" t="str">
        <x:v>SCA</x:v>
      </x:c>
      <x:c r="C148" s="7" t="str">
        <x:v>HIGH</x:v>
      </x:c>
      <x:c r="D148" s="8" t="str">
        <x:v>Dependencia org.springframework:spring-core-6.2.14</x:v>
      </x:c>
      <x:c r="E148" s="7" t="str">
        <x:v>org.springframework:spring-core</x:v>
      </x:c>
      <x:c r="F148" s="7" t="str">
        <x:v>6.2.14</x:v>
      </x:c>
      <x:c r="G148" s="7" t="str">
        <x:v>CWE-1333</x:v>
      </x:c>
      <x:c r="H148" s="7" t="str">
        <x:v>CVE-2026-41848</x:v>
      </x:c>
      <x:c r="I148" s="7" t="n">
        <x:v>166</x:v>
      </x:c>
      <x:c r="J148" s="9" t="str">
        <x:v>PENDIENTE</x:v>
      </x:c>
      <x:c r="K148" s="10" t="n">
        <x:v>46553</x:v>
      </x:c>
      <x:c r="L148" s="7" t="str">
        <x:v>Avance 2027-06-15</x:v>
      </x:c>
      <x:c r="M148" s="8" t="str">
        <x:v>Applications may be vulnerable to a Regular Expression Denial of Service (ReDoS) attack if an attacker is able to provide a pattern which is then directly or indirectly supplied to</x:v>
      </x:c>
      <x:c r="N148" s="17"/>
      <x:c r="O148" s="17"/>
    </x:row>
    <x:row r="149" ht="39.599998474121094" hidden="0" customHeight="1">
      <x:c r="A149" s="7" t="str">
        <x:v>SIAJ-0351</x:v>
      </x:c>
      <x:c r="B149" s="7" t="str">
        <x:v>SCA</x:v>
      </x:c>
      <x:c r="C149" s="7" t="str">
        <x:v>HIGH</x:v>
      </x:c>
      <x:c r="D149" s="8" t="str">
        <x:v>Dependencia org.springframework:spring-expression-6.2.14</x:v>
      </x:c>
      <x:c r="E149" s="7" t="str">
        <x:v>org.springframework:spring-expression</x:v>
      </x:c>
      <x:c r="F149" s="7" t="str">
        <x:v>6.2.14</x:v>
      </x:c>
      <x:c r="G149" s="7" t="str">
        <x:v>CWE-407</x:v>
      </x:c>
      <x:c r="H149" s="7" t="str">
        <x:v>CVE-2026-41850</x:v>
      </x:c>
      <x:c r="I149" s="7" t="n">
        <x:v>165</x:v>
      </x:c>
      <x:c r="J149" s="9" t="str">
        <x:v>PENDIENTE</x:v>
      </x:c>
      <x:c r="K149" s="10" t="n">
        <x:v>46553</x:v>
      </x:c>
      <x:c r="L149" s="7" t="str">
        <x:v>Avance 2027-06-15</x:v>
      </x:c>
      <x:c r="M149" s="8" t="str">
        <x:v>Applications that evaluate user-supplied Spring Expression Language (SpEL) expressions are vulnerable to an Algorithmic Denial-of-Service (DoS). By providing a specially crafted ex</x:v>
      </x:c>
      <x:c r="N149" s="17"/>
      <x:c r="O149" s="17"/>
    </x:row>
    <x:row r="150" ht="39.599998474121094" hidden="0" customHeight="1">
      <x:c r="A150" s="7" t="str">
        <x:v>SIAJ-0249</x:v>
      </x:c>
      <x:c r="B150" s="7" t="str">
        <x:v>SCA</x:v>
      </x:c>
      <x:c r="C150" s="7" t="str">
        <x:v>HIGH</x:v>
      </x:c>
      <x:c r="D150" s="8" t="str">
        <x:v>Dependencia org.springframework:spring-webmvc-6.2.14</x:v>
      </x:c>
      <x:c r="E150" s="7" t="str">
        <x:v>org.springframework:spring-webmvc</x:v>
      </x:c>
      <x:c r="F150" s="7" t="str">
        <x:v>6.2.14</x:v>
      </x:c>
      <x:c r="G150" s="7" t="str">
        <x:v>CWE-400</x:v>
      </x:c>
      <x:c r="H150" s="7" t="str">
        <x:v>CVE-2026-41842</x:v>
      </x:c>
      <x:c r="I150" s="7" t="n">
        <x:v>128</x:v>
      </x:c>
      <x:c r="J150" s="9" t="str">
        <x:v>PENDIENTE</x:v>
      </x:c>
      <x:c r="K150" s="10" t="n">
        <x:v>46553</x:v>
      </x:c>
      <x:c r="L150" s="7" t="str">
        <x:v>Avance 2027-06-15</x:v>
      </x:c>
      <x:c r="M150" s="8" t="str">
        <x:v>Spring MVC and WebFlux applications are vulnerable to Denial of Service (DoS) attacks when resolving static resources. Affected are all versions of 5.3.x 6.1.x prior to 6.2.19 and</x:v>
      </x:c>
      <x:c r="N150" s="17"/>
      <x:c r="O150" s="17"/>
    </x:row>
    <x:row r="151" ht="39.599998474121094" hidden="0" customHeight="1">
      <x:c r="A151" s="7" t="str">
        <x:v>SIAJ-0248</x:v>
      </x:c>
      <x:c r="B151" s="7" t="str">
        <x:v>SCA</x:v>
      </x:c>
      <x:c r="C151" s="7" t="str">
        <x:v>HIGH</x:v>
      </x:c>
      <x:c r="D151" s="8" t="str">
        <x:v>Dependencia org.springframework:spring-websocket-6.2.14</x:v>
      </x:c>
      <x:c r="E151" s="7" t="str">
        <x:v>org.springframework:spring-websocket</x:v>
      </x:c>
      <x:c r="F151" s="7" t="str">
        <x:v>6.2.14</x:v>
      </x:c>
      <x:c r="G151" s="7" t="str">
        <x:v>CWE-330</x:v>
      </x:c>
      <x:c r="H151" s="7" t="str">
        <x:v>CVE-2026-41838</x:v>
      </x:c>
      <x:c r="I151" s="7" t="n">
        <x:v>128</x:v>
      </x:c>
      <x:c r="J151" s="9" t="str">
        <x:v>PENDIENTE</x:v>
      </x:c>
      <x:c r="K151" s="10" t="n">
        <x:v>46553</x:v>
      </x:c>
      <x:c r="L151" s="7" t="str">
        <x:v>Avance 2027-06-15</x:v>
      </x:c>
      <x:c r="M151" s="8" t="str">
        <x:v>IDs for WebSocket sessions in the spring-websocket module are not cryptographically un predictable, which may be possible to exploit in combination with inadequate authorization ru</x:v>
      </x:c>
      <x:c r="N151" s="17"/>
      <x:c r="O151" s="17"/>
    </x:row>
    <x:row r="152" ht="39.599998474121094" hidden="0" customHeight="1">
      <x:c r="A152" s="7" t="str">
        <x:v>SIAJ-0341</x:v>
      </x:c>
      <x:c r="B152" s="7" t="str">
        <x:v>SCA</x:v>
      </x:c>
      <x:c r="C152" s="7" t="str">
        <x:v>HIGH</x:v>
      </x:c>
      <x:c r="D152" s="8" t="str">
        <x:v>Dependencia org.springframework.boot:spring-boot-3.4.12</x:v>
      </x:c>
      <x:c r="E152" s="7" t="str">
        <x:v>org.springframework.boot:spring-boot</x:v>
      </x:c>
      <x:c r="F152" s="7" t="str">
        <x:v>3.4.12</x:v>
      </x:c>
      <x:c r="G152" s="7" t="str">
        <x:v>CWE-330</x:v>
      </x:c>
      <x:c r="H152" s="7" t="str">
        <x:v>CVE-2026-40975</x:v>
      </x:c>
      <x:c r="I152" s="7" t="n">
        <x:v>161</x:v>
      </x:c>
      <x:c r="J152" s="9" t="str">
        <x:v>PENDIENTE</x:v>
      </x:c>
      <x:c r="K152" s="10" t="n">
        <x:v>46553</x:v>
      </x:c>
      <x:c r="L152" s="7" t="str">
        <x:v>Avance 2027-06-15</x:v>
      </x:c>
      <x:c r="M152" s="8" t="str">
        <x:v>Values produced by ${random.value} are not suitable for use as secrets. ${random.uuid} i s not affected. ${random.int} and ${random.long} should never be used for secrets as they a</x:v>
      </x:c>
      <x:c r="N152" s="17"/>
      <x:c r="O152" s="17"/>
    </x:row>
    <x:row r="153" ht="39.599998474121094" hidden="0" customHeight="1">
      <x:c r="A153" s="7" t="str">
        <x:v>SIAJ-0342</x:v>
      </x:c>
      <x:c r="B153" s="7" t="str">
        <x:v>SCA</x:v>
      </x:c>
      <x:c r="C153" s="7" t="str">
        <x:v>HIGH</x:v>
      </x:c>
      <x:c r="D153" s="8" t="str">
        <x:v>Dependencia org.springframework.boot:spring-boot-3.4.12</x:v>
      </x:c>
      <x:c r="E153" s="7" t="str">
        <x:v>org.springframework.boot:spring-boot</x:v>
      </x:c>
      <x:c r="F153" s="7" t="str">
        <x:v>3.4.12</x:v>
      </x:c>
      <x:c r="G153" s="7" t="str">
        <x:v>CWE-377</x:v>
      </x:c>
      <x:c r="H153" s="7" t="str">
        <x:v>CVE-2026-40973</x:v>
      </x:c>
      <x:c r="I153" s="7" t="n">
        <x:v>161</x:v>
      </x:c>
      <x:c r="J153" s="9" t="str">
        <x:v>PENDIENTE</x:v>
      </x:c>
      <x:c r="K153" s="10" t="n">
        <x:v>46553</x:v>
      </x:c>
      <x:c r="L153" s="7" t="str">
        <x:v>Avance 2027-06-15</x:v>
      </x:c>
      <x:c r="M153" s="8" t="str">
        <x:v>A local attacker on the same host as the application may be able to take control of the dir ectory used by `ApplicationTemp`. When `server.servlet.session.persistent` is set to `tr</x:v>
      </x:c>
      <x:c r="N153" s="17"/>
      <x:c r="O153" s="17"/>
    </x:row>
    <x:row r="154" ht="39.599998474121094" hidden="0" customHeight="1">
      <x:c r="A154" s="7" t="str">
        <x:v>SIAJ-0243</x:v>
      </x:c>
      <x:c r="B154" s="7" t="str">
        <x:v>SCA</x:v>
      </x:c>
      <x:c r="C154" s="7" t="str">
        <x:v>HIGH</x:v>
      </x:c>
      <x:c r="D154" s="8" t="str">
        <x:v>Dependencia org.springframework.boot:spring-boot-devtools-3.4.12</x:v>
      </x:c>
      <x:c r="E154" s="7" t="str">
        <x:v>org.springframework.boot:spring-boot-devtools</x:v>
      </x:c>
      <x:c r="F154" s="7" t="str">
        <x:v>3.4.12</x:v>
      </x:c>
      <x:c r="G154" s="7" t="str">
        <x:v>CWE-208</x:v>
      </x:c>
      <x:c r="H154" s="7" t="str">
        <x:v>CVE-2026-40972</x:v>
      </x:c>
      <x:c r="I154" s="7" t="n">
        <x:v>126</x:v>
      </x:c>
      <x:c r="J154" s="9" t="str">
        <x:v>PENDIENTE</x:v>
      </x:c>
      <x:c r="K154" s="10" t="n">
        <x:v>46583</x:v>
      </x:c>
      <x:c r="L154" s="7" t="str">
        <x:v>Avance 2027-07-15</x:v>
      </x:c>
      <x:c r="M154" s="8" t="str">
        <x:v>An attacker on the same network as the remote application may be able to utilize a timin g attack to discover information about the remote secret. In extreme circumstances this cou</x:v>
      </x:c>
      <x:c r="N154" s="17"/>
      <x:c r="O154" s="17"/>
    </x:row>
    <x:row r="155" ht="39.599998474121094" hidden="0" customHeight="1">
      <x:c r="A155" s="7" t="str">
        <x:v>SIAJ-0317</x:v>
      </x:c>
      <x:c r="B155" s="7" t="str">
        <x:v>SCA</x:v>
      </x:c>
      <x:c r="C155" s="7" t="str">
        <x:v>HIGH</x:v>
      </x:c>
      <x:c r="D155" s="8" t="str">
        <x:v>Dependencia org.springframework.data:spring-data-commons-3.4.12</x:v>
      </x:c>
      <x:c r="E155" s="7" t="str">
        <x:v>org.springframework.data:spring-data-commons</x:v>
      </x:c>
      <x:c r="F155" s="7" t="str">
        <x:v>3.4.12</x:v>
      </x:c>
      <x:c r="G155" s="7" t="str">
        <x:v>CWE-770</x:v>
      </x:c>
      <x:c r="H155" s="7" t="str">
        <x:v>CVE-2026-41716</x:v>
      </x:c>
      <x:c r="I155" s="7" t="n">
        <x:v>152</x:v>
      </x:c>
      <x:c r="J155" s="9" t="str">
        <x:v>PENDIENTE</x:v>
      </x:c>
      <x:c r="K155" s="10" t="n">
        <x:v>46583</x:v>
      </x:c>
      <x:c r="L155" s="7" t="str">
        <x:v>Avance 2027-07-15</x:v>
      </x:c>
      <x:c r="M155" s="8" t="str">
        <x:v>Spring Data's internal property-lookup cache accepts and permanently retains attacker-s upplied strings as cache keys, allowing heap exhaustion through repeated requests. Affected</x:v>
      </x:c>
      <x:c r="N155" s="17"/>
      <x:c r="O155" s="17"/>
    </x:row>
    <x:row r="156" ht="39.599998474121094" hidden="0" customHeight="1">
      <x:c r="A156" s="7" t="str">
        <x:v>SIAJ-0318</x:v>
      </x:c>
      <x:c r="B156" s="7" t="str">
        <x:v>SCA</x:v>
      </x:c>
      <x:c r="C156" s="7" t="str">
        <x:v>HIGH</x:v>
      </x:c>
      <x:c r="D156" s="8" t="str">
        <x:v>Dependencia org.springframework.data:spring-data-commons-3.4.12</x:v>
      </x:c>
      <x:c r="E156" s="7" t="str">
        <x:v>org.springframework.data:spring-data-commons</x:v>
      </x:c>
      <x:c r="F156" s="7" t="str">
        <x:v>3.4.12</x:v>
      </x:c>
      <x:c r="G156" s="7" t="str">
        <x:v>CWE-400</x:v>
      </x:c>
      <x:c r="H156" s="7" t="str">
        <x:v>CVE-2026-41695</x:v>
      </x:c>
      <x:c r="I156" s="7" t="n">
        <x:v>153</x:v>
      </x:c>
      <x:c r="J156" s="9" t="str">
        <x:v>PENDIENTE</x:v>
      </x:c>
      <x:c r="K156" s="10" t="n">
        <x:v>46583</x:v>
      </x:c>
      <x:c r="L156" s="7" t="str">
        <x:v>Avance 2027-07-15</x:v>
      </x:c>
      <x:c r="M156" s="8" t="str">
        <x:v>Spring Data Commons applications may be vulnerable to denial of service through resour ce exhaustion when attacker-controlled property path strings are passed to "MappingContext" p</x:v>
      </x:c>
      <x:c r="N156" s="17"/>
      <x:c r="O156" s="17"/>
    </x:row>
    <x:row r="157" ht="39.599998474121094" hidden="0" customHeight="1">
      <x:c r="A157" s="7" t="str">
        <x:v>SIAJ-0301</x:v>
      </x:c>
      <x:c r="B157" s="7" t="str">
        <x:v>SCA</x:v>
      </x:c>
      <x:c r="C157" s="7" t="str">
        <x:v>HIGH</x:v>
      </x:c>
      <x:c r="D157" s="8" t="str">
        <x:v>Dependencia org.springframework.security:spring-security-config-6.4.13</x:v>
      </x:c>
      <x:c r="E157" s="7" t="str">
        <x:v>org.springframework.security:spring-security-config</x:v>
      </x:c>
      <x:c r="F157" s="7" t="str">
        <x:v>6.4.13</x:v>
      </x:c>
      <x:c r="G157" s="7" t="str">
        <x:v>CWE-287</x:v>
      </x:c>
      <x:c r="H157" s="7" t="str">
        <x:v>CVE-2026-47838</x:v>
      </x:c>
      <x:c r="I157" s="7" t="n">
        <x:v>147</x:v>
      </x:c>
      <x:c r="J157" s="9" t="str">
        <x:v>PENDIENTE</x:v>
      </x:c>
      <x:c r="K157" s="10" t="n">
        <x:v>46583</x:v>
      </x:c>
      <x:c r="L157" s="7" t="str">
        <x:v>Avance 2027-07-15</x:v>
      </x:c>
      <x:c r="M157" s="8" t="str">
        <x:v>SubjectDnX509PrincipalExtractor does not correctly handle certain malformed X.509 cer tificate CN values, which can lead to reading the wrong value for the username. In a carefully</x:v>
      </x:c>
      <x:c r="N157" s="17"/>
      <x:c r="O157" s="17"/>
    </x:row>
    <x:row r="158" ht="39.599998474121094" hidden="0" customHeight="1">
      <x:c r="A158" s="7" t="str">
        <x:v>SIAJ-0293</x:v>
      </x:c>
      <x:c r="B158" s="7" t="str">
        <x:v>SCA</x:v>
      </x:c>
      <x:c r="C158" s="7" t="str">
        <x:v>HIGH</x:v>
      </x:c>
      <x:c r="D158" s="8" t="str">
        <x:v>Dependencia org.springframework.security:spring-security-web-6.4.13</x:v>
      </x:c>
      <x:c r="E158" s="7" t="str">
        <x:v>org.springframework.security:spring-security-web</x:v>
      </x:c>
      <x:c r="F158" s="7" t="str">
        <x:v>6.4.13</x:v>
      </x:c>
      <x:c r="G158" s="7" t="str">
        <x:v>CWE-287</x:v>
      </x:c>
      <x:c r="H158" s="7" t="str">
        <x:v>CVE-2026-47838</x:v>
      </x:c>
      <x:c r="I158" s="7" t="n">
        <x:v>143</x:v>
      </x:c>
      <x:c r="J158" s="9" t="str">
        <x:v>PENDIENTE</x:v>
      </x:c>
      <x:c r="K158" s="10" t="n">
        <x:v>46583</x:v>
      </x:c>
      <x:c r="L158" s="7" t="str">
        <x:v>Avance 2027-07-15</x:v>
      </x:c>
      <x:c r="M158" s="8" t="str">
        <x:v>SubjectDnX509PrincipalExtractor does not correctly handle certain malformed X.509 cer tificate CN values, which can lead to reading the wrong value for the username. In a carefully</x:v>
      </x:c>
      <x:c r="N158" s="17"/>
      <x:c r="O158" s="17"/>
    </x:row>
    <x:row r="159" ht="39.599998474121094" hidden="0" customHeight="1">
      <x:c r="A159" s="7" t="str">
        <x:v>SIAJ-0268</x:v>
      </x:c>
      <x:c r="B159" s="7" t="str">
        <x:v>SCA</x:v>
      </x:c>
      <x:c r="C159" s="7" t="str">
        <x:v>HIGH</x:v>
      </x:c>
      <x:c r="D159" s="8" t="str">
        <x:v>Dependencia tmp-0.2.5</x:v>
      </x:c>
      <x:c r="E159" s="7" t="str">
        <x:v>tmp</x:v>
      </x:c>
      <x:c r="F159" s="7" t="str">
        <x:v>0.2.5</x:v>
      </x:c>
      <x:c r="G159" s="7" t="str">
        <x:v>CWE-20</x:v>
      </x:c>
      <x:c r="H159" s="7" t="str">
        <x:v>CVE-2026-49982</x:v>
      </x:c>
      <x:c r="I159" s="7" t="n">
        <x:v>135</x:v>
      </x:c>
      <x:c r="J159" s="9" t="str">
        <x:v>PENDIENTE</x:v>
      </x:c>
      <x:c r="K159" s="10" t="n">
        <x:v>46583</x:v>
      </x:c>
      <x:c r="L159" s="7" t="str">
        <x:v>Avance 2027-07-15</x:v>
      </x:c>
      <x:c r="M159" s="8" t="str">
        <x:v>tmp is a temporary file and directory creator for node.js. In version through 0.2.6, the "_as sertPath" guard added to tmp rejects only string values that contain the substring...</x:v>
      </x:c>
      <x:c r="N159" s="17"/>
      <x:c r="O159" s="17"/>
    </x:row>
    <x:row r="160" ht="39.599998474121094" hidden="0" customHeight="1">
      <x:c r="A160" s="7" t="str">
        <x:v>SIAJ-0269</x:v>
      </x:c>
      <x:c r="B160" s="7" t="str">
        <x:v>SCA</x:v>
      </x:c>
      <x:c r="C160" s="7" t="str">
        <x:v>HIGH</x:v>
      </x:c>
      <x:c r="D160" s="8" t="str">
        <x:v>Dependencia tmp-0.2.5</x:v>
      </x:c>
      <x:c r="E160" s="7" t="str">
        <x:v>tmp</x:v>
      </x:c>
      <x:c r="F160" s="7" t="str">
        <x:v>0.2.5</x:v>
      </x:c>
      <x:c r="G160" s="7" t="str">
        <x:v>CWE-22</x:v>
      </x:c>
      <x:c r="H160" s="7" t="str">
        <x:v>CVE-2026-44705</x:v>
      </x:c>
      <x:c r="I160" s="7" t="n">
        <x:v>136</x:v>
      </x:c>
      <x:c r="J160" s="9" t="str">
        <x:v>PENDIENTE</x:v>
      </x:c>
      <x:c r="K160" s="10" t="n">
        <x:v>46583</x:v>
      </x:c>
      <x:c r="L160" s="7" t="str">
        <x:v>Avance 2027-07-15</x:v>
      </x:c>
      <x:c r="M160" s="8" t="str">
        <x:v>The tmp npm package contains a path traversal vulnerability that allows escaping the int ended temporary directory when untrusted data flows into the `prefix`, `postfix`, or `dir`</x:v>
      </x:c>
      <x:c r="N160" s="17"/>
      <x:c r="O160" s="17"/>
    </x:row>
    <x:row r="161" ht="15" hidden="0" customHeight="1">
      <x:c r="A161" s="7"/>
      <x:c r="B161" s="7"/>
      <x:c r="C161" s="7"/>
      <x:c r="D161" s="8"/>
      <x:c r="E161" s="7"/>
      <x:c r="F161" s="7"/>
      <x:c r="G161" s="7"/>
      <x:c r="H161" s="7"/>
      <x:c r="I161" s="7"/>
      <x:c r="J161" s="9"/>
      <x:c r="K161" s="10"/>
      <x:c r="L161" s="7"/>
      <x:c r="M161" s="8"/>
      <x:c r="N161" s="17"/>
      <x:c r="O161" s="17"/>
    </x:row>
    <x:row r="162" ht="15" hidden="0" customHeight="1">
      <x:c r="A162" s="7"/>
      <x:c r="B162" s="7"/>
      <x:c r="C162" s="7"/>
      <x:c r="D162" s="8"/>
      <x:c r="E162" s="7"/>
      <x:c r="F162" s="7"/>
      <x:c r="G162" s="7"/>
      <x:c r="H162" s="7"/>
      <x:c r="I162" s="7"/>
      <x:c r="J162" s="9"/>
      <x:c r="K162" s="10"/>
      <x:c r="L162" s="7"/>
      <x:c r="M162" s="8"/>
      <x:c r="N162" s="17"/>
      <x:c r="O162" s="17"/>
    </x:row>
    <x:row r="163" ht="15" hidden="0" customHeight="1">
      <x:c r="A163" s="7"/>
      <x:c r="B163" s="7"/>
      <x:c r="C163" s="7"/>
      <x:c r="D163" s="8"/>
      <x:c r="E163" s="7"/>
      <x:c r="F163" s="7"/>
      <x:c r="G163" s="7"/>
      <x:c r="H163" s="7"/>
      <x:c r="I163" s="7"/>
      <x:c r="J163" s="9"/>
      <x:c r="K163" s="10"/>
      <x:c r="L163" s="7"/>
      <x:c r="M163" s="8"/>
      <x:c r="N163" s="17"/>
      <x:c r="O163" s="17"/>
    </x:row>
    <x:row r="164" ht="15" hidden="0" customHeight="1">
      <x:c r="A164" s="7"/>
      <x:c r="B164" s="7"/>
      <x:c r="C164" s="7"/>
      <x:c r="D164" s="8"/>
      <x:c r="E164" s="7"/>
      <x:c r="F164" s="7"/>
      <x:c r="G164" s="7"/>
      <x:c r="H164" s="7"/>
      <x:c r="I164" s="7"/>
      <x:c r="J164" s="9"/>
      <x:c r="K164" s="10"/>
      <x:c r="L164" s="7"/>
      <x:c r="M164" s="8"/>
      <x:c r="N164" s="17"/>
      <x:c r="O164" s="17"/>
    </x:row>
    <x:row r="165" ht="15" hidden="0" customHeight="1">
      <x:c r="A165" s="7"/>
      <x:c r="B165" s="7"/>
      <x:c r="C165" s="7"/>
      <x:c r="D165" s="8"/>
      <x:c r="E165" s="7"/>
      <x:c r="F165" s="7"/>
      <x:c r="G165" s="7"/>
      <x:c r="H165" s="7"/>
      <x:c r="I165" s="7"/>
      <x:c r="J165" s="9"/>
      <x:c r="K165" s="10"/>
      <x:c r="L165" s="7"/>
      <x:c r="M165" s="8"/>
      <x:c r="N165" s="17"/>
      <x:c r="O165" s="17"/>
    </x:row>
    <x:row r="166" ht="15" hidden="0" customHeight="1">
      <x:c r="A166" s="7"/>
      <x:c r="B166" s="7"/>
      <x:c r="C166" s="7"/>
      <x:c r="D166" s="8"/>
      <x:c r="E166" s="7"/>
      <x:c r="F166" s="7"/>
      <x:c r="G166" s="7"/>
      <x:c r="H166" s="7"/>
      <x:c r="I166" s="7"/>
      <x:c r="J166" s="9"/>
      <x:c r="K166" s="10"/>
      <x:c r="L166" s="7"/>
      <x:c r="M166" s="8"/>
      <x:c r="N166" s="17"/>
      <x:c r="O166" s="17"/>
    </x:row>
    <x:row r="167" ht="15" hidden="0" customHeight="1">
      <x:c r="A167" s="7"/>
      <x:c r="B167" s="7"/>
      <x:c r="C167" s="7"/>
      <x:c r="D167" s="8"/>
      <x:c r="E167" s="7"/>
      <x:c r="F167" s="7"/>
      <x:c r="G167" s="7"/>
      <x:c r="H167" s="7"/>
      <x:c r="I167" s="7"/>
      <x:c r="J167" s="9"/>
      <x:c r="K167" s="10"/>
      <x:c r="L167" s="7"/>
      <x:c r="M167" s="8"/>
      <x:c r="N167" s="17"/>
      <x:c r="O167" s="17"/>
    </x:row>
    <x:row r="168" ht="15" hidden="0" customHeight="1">
      <x:c r="A168" s="7"/>
      <x:c r="B168" s="7"/>
      <x:c r="C168" s="7"/>
      <x:c r="D168" s="8"/>
      <x:c r="E168" s="7"/>
      <x:c r="F168" s="7"/>
      <x:c r="G168" s="7"/>
      <x:c r="H168" s="7"/>
      <x:c r="I168" s="7"/>
      <x:c r="J168" s="9"/>
      <x:c r="K168" s="10"/>
      <x:c r="L168" s="7"/>
      <x:c r="M168" s="8"/>
      <x:c r="N168" s="17"/>
      <x:c r="O168" s="17"/>
    </x:row>
    <x:row r="169" ht="15" hidden="0" customHeight="1">
      <x:c r="A169" s="7"/>
      <x:c r="B169" s="7"/>
      <x:c r="C169" s="7"/>
      <x:c r="D169" s="8"/>
      <x:c r="E169" s="7"/>
      <x:c r="F169" s="7"/>
      <x:c r="G169" s="7"/>
      <x:c r="H169" s="7"/>
      <x:c r="I169" s="7"/>
      <x:c r="J169" s="9"/>
      <x:c r="K169" s="10"/>
      <x:c r="L169" s="7"/>
      <x:c r="M169" s="8"/>
      <x:c r="N169" s="17"/>
      <x:c r="O169" s="17"/>
    </x:row>
    <x:row r="170" ht="15" hidden="0" customHeight="1">
      <x:c r="A170" s="7"/>
      <x:c r="B170" s="7"/>
      <x:c r="C170" s="7"/>
      <x:c r="D170" s="8"/>
      <x:c r="E170" s="7"/>
      <x:c r="F170" s="7"/>
      <x:c r="G170" s="7"/>
      <x:c r="H170" s="7"/>
      <x:c r="I170" s="7"/>
      <x:c r="J170" s="9"/>
      <x:c r="K170" s="10"/>
      <x:c r="L170" s="7"/>
      <x:c r="M170" s="8"/>
      <x:c r="N170" s="17"/>
      <x:c r="O170" s="17"/>
    </x:row>
    <x:row r="171" ht="15" hidden="0" customHeight="1">
      <x:c r="A171" s="7"/>
      <x:c r="B171" s="7"/>
      <x:c r="C171" s="7"/>
      <x:c r="D171" s="8"/>
      <x:c r="E171" s="7"/>
      <x:c r="F171" s="7"/>
      <x:c r="G171" s="7"/>
      <x:c r="H171" s="7"/>
      <x:c r="I171" s="7"/>
      <x:c r="J171" s="9"/>
      <x:c r="K171" s="10"/>
      <x:c r="L171" s="7"/>
      <x:c r="M171" s="8"/>
      <x:c r="N171" s="17"/>
      <x:c r="O171" s="17"/>
    </x:row>
    <x:row r="172" ht="15" hidden="0" customHeight="1">
      <x:c r="A172" s="7"/>
      <x:c r="B172" s="7"/>
      <x:c r="C172" s="7"/>
      <x:c r="D172" s="8"/>
      <x:c r="E172" s="7"/>
      <x:c r="F172" s="7"/>
      <x:c r="G172" s="7"/>
      <x:c r="H172" s="7"/>
      <x:c r="I172" s="7"/>
      <x:c r="J172" s="9"/>
      <x:c r="K172" s="10"/>
      <x:c r="L172" s="7"/>
      <x:c r="M172" s="8"/>
      <x:c r="N172" s="17"/>
      <x:c r="O172" s="17"/>
    </x:row>
    <x:row r="173" ht="15" hidden="0" customHeight="1">
      <x:c r="A173" s="7"/>
      <x:c r="B173" s="7"/>
      <x:c r="C173" s="7"/>
      <x:c r="D173" s="8"/>
      <x:c r="E173" s="7"/>
      <x:c r="F173" s="7"/>
      <x:c r="G173" s="7"/>
      <x:c r="H173" s="7"/>
      <x:c r="I173" s="7"/>
      <x:c r="J173" s="9"/>
      <x:c r="K173" s="10"/>
      <x:c r="L173" s="7"/>
      <x:c r="M173" s="8"/>
      <x:c r="N173" s="17"/>
      <x:c r="O173" s="17"/>
    </x:row>
    <x:row r="174" ht="15" hidden="0" customHeight="1">
      <x:c r="A174" s="7"/>
      <x:c r="B174" s="7"/>
      <x:c r="C174" s="7"/>
      <x:c r="D174" s="8"/>
      <x:c r="E174" s="7"/>
      <x:c r="F174" s="7"/>
      <x:c r="G174" s="7"/>
      <x:c r="H174" s="7"/>
      <x:c r="I174" s="7"/>
      <x:c r="J174" s="9"/>
      <x:c r="K174" s="10"/>
      <x:c r="L174" s="7"/>
      <x:c r="M174" s="8"/>
      <x:c r="N174" s="17"/>
      <x:c r="O174" s="17"/>
    </x:row>
    <x:row r="175" ht="15" hidden="0" customHeight="1">
      <x:c r="A175" s="7"/>
      <x:c r="B175" s="7"/>
      <x:c r="C175" s="7"/>
      <x:c r="D175" s="8"/>
      <x:c r="E175" s="7"/>
      <x:c r="F175" s="7"/>
      <x:c r="G175" s="7"/>
      <x:c r="H175" s="7"/>
      <x:c r="I175" s="7"/>
      <x:c r="J175" s="9"/>
      <x:c r="K175" s="10"/>
      <x:c r="L175" s="7"/>
      <x:c r="M175" s="8"/>
      <x:c r="N175" s="17"/>
      <x:c r="O175" s="17"/>
    </x:row>
    <x:row r="176" ht="15" hidden="0" customHeight="1">
      <x:c r="A176" s="7"/>
      <x:c r="B176" s="7"/>
      <x:c r="C176" s="7"/>
      <x:c r="D176" s="8"/>
      <x:c r="E176" s="7"/>
      <x:c r="F176" s="7"/>
      <x:c r="G176" s="7"/>
      <x:c r="H176" s="7"/>
      <x:c r="I176" s="7"/>
      <x:c r="J176" s="9"/>
      <x:c r="K176" s="10"/>
      <x:c r="L176" s="7"/>
      <x:c r="M176" s="8"/>
      <x:c r="N176" s="17"/>
      <x:c r="O176" s="17"/>
    </x:row>
    <x:row r="177" ht="15" hidden="0" customHeight="1">
      <x:c r="A177" s="7"/>
      <x:c r="B177" s="7"/>
      <x:c r="C177" s="7"/>
      <x:c r="D177" s="8"/>
      <x:c r="E177" s="7"/>
      <x:c r="F177" s="7"/>
      <x:c r="G177" s="7"/>
      <x:c r="H177" s="7"/>
      <x:c r="I177" s="7"/>
      <x:c r="J177" s="9"/>
      <x:c r="K177" s="10"/>
      <x:c r="L177" s="7"/>
      <x:c r="M177" s="8"/>
      <x:c r="N177" s="17"/>
      <x:c r="O177" s="17"/>
    </x:row>
    <x:row r="178" ht="15" hidden="0" customHeight="1">
      <x:c r="A178" s="7"/>
      <x:c r="B178" s="7"/>
      <x:c r="C178" s="7"/>
      <x:c r="D178" s="8"/>
      <x:c r="E178" s="7"/>
      <x:c r="F178" s="7"/>
      <x:c r="G178" s="7"/>
      <x:c r="H178" s="7"/>
      <x:c r="I178" s="7"/>
      <x:c r="J178" s="9"/>
      <x:c r="K178" s="10"/>
      <x:c r="L178" s="7"/>
      <x:c r="M178" s="8"/>
      <x:c r="N178" s="17"/>
      <x:c r="O178" s="17"/>
    </x:row>
    <x:row r="179" ht="15" hidden="0" customHeight="1">
      <x:c r="A179" s="7"/>
      <x:c r="B179" s="7"/>
      <x:c r="C179" s="7"/>
      <x:c r="D179" s="8"/>
      <x:c r="E179" s="7"/>
      <x:c r="F179" s="7"/>
      <x:c r="G179" s="7"/>
      <x:c r="H179" s="7"/>
      <x:c r="I179" s="7"/>
      <x:c r="J179" s="9"/>
      <x:c r="K179" s="10"/>
      <x:c r="L179" s="7"/>
      <x:c r="M179" s="8"/>
      <x:c r="N179" s="17"/>
      <x:c r="O179" s="17"/>
    </x:row>
    <x:row r="180" ht="15" hidden="0" customHeight="1">
      <x:c r="A180" s="7"/>
      <x:c r="B180" s="7"/>
      <x:c r="C180" s="7"/>
      <x:c r="D180" s="8"/>
      <x:c r="E180" s="7"/>
      <x:c r="F180" s="7"/>
      <x:c r="G180" s="7"/>
      <x:c r="H180" s="7"/>
      <x:c r="I180" s="7"/>
      <x:c r="J180" s="9"/>
      <x:c r="K180" s="10"/>
      <x:c r="L180" s="7"/>
      <x:c r="M180" s="8"/>
      <x:c r="N180" s="17"/>
      <x:c r="O180" s="17"/>
    </x:row>
    <x:row r="181" ht="15" hidden="0" customHeight="1">
      <x:c r="A181" s="7"/>
      <x:c r="B181" s="7"/>
      <x:c r="C181" s="7"/>
      <x:c r="D181" s="8"/>
      <x:c r="E181" s="7"/>
      <x:c r="F181" s="7"/>
      <x:c r="G181" s="7"/>
      <x:c r="H181" s="7"/>
      <x:c r="I181" s="7"/>
      <x:c r="J181" s="9"/>
      <x:c r="K181" s="10"/>
      <x:c r="L181" s="7"/>
      <x:c r="M181" s="8"/>
      <x:c r="N181" s="17"/>
      <x:c r="O181" s="17"/>
    </x:row>
    <x:row r="182" ht="15" hidden="0" customHeight="1">
      <x:c r="A182" s="7"/>
      <x:c r="B182" s="7"/>
      <x:c r="C182" s="7"/>
      <x:c r="D182" s="8"/>
      <x:c r="E182" s="7"/>
      <x:c r="F182" s="7"/>
      <x:c r="G182" s="7"/>
      <x:c r="H182" s="7"/>
      <x:c r="I182" s="7"/>
      <x:c r="J182" s="9"/>
      <x:c r="K182" s="10"/>
      <x:c r="L182" s="7"/>
      <x:c r="M182" s="8"/>
      <x:c r="N182" s="17"/>
      <x:c r="O182" s="17"/>
    </x:row>
    <x:row r="183" ht="15" hidden="0" customHeight="1">
      <x:c r="A183" s="7"/>
      <x:c r="B183" s="7"/>
      <x:c r="C183" s="7"/>
      <x:c r="D183" s="8"/>
      <x:c r="E183" s="7"/>
      <x:c r="F183" s="7"/>
      <x:c r="G183" s="7"/>
      <x:c r="H183" s="7"/>
      <x:c r="I183" s="7"/>
      <x:c r="J183" s="9"/>
      <x:c r="K183" s="10"/>
      <x:c r="L183" s="7"/>
      <x:c r="M183" s="8"/>
      <x:c r="N183" s="17"/>
      <x:c r="O183" s="17"/>
    </x:row>
    <x:row r="184" ht="15" hidden="0" customHeight="1">
      <x:c r="A184" s="7"/>
      <x:c r="B184" s="7"/>
      <x:c r="C184" s="7"/>
      <x:c r="D184" s="8"/>
      <x:c r="E184" s="7"/>
      <x:c r="F184" s="7"/>
      <x:c r="G184" s="7"/>
      <x:c r="H184" s="7"/>
      <x:c r="I184" s="7"/>
      <x:c r="J184" s="9"/>
      <x:c r="K184" s="10"/>
      <x:c r="L184" s="7"/>
      <x:c r="M184" s="8"/>
      <x:c r="N184" s="17"/>
      <x:c r="O184" s="17"/>
    </x:row>
    <x:row r="185" ht="15" hidden="0" customHeight="1">
      <x:c r="A185" s="7"/>
      <x:c r="B185" s="7"/>
      <x:c r="C185" s="7"/>
      <x:c r="D185" s="8"/>
      <x:c r="E185" s="7"/>
      <x:c r="F185" s="7"/>
      <x:c r="G185" s="7"/>
      <x:c r="H185" s="7"/>
      <x:c r="I185" s="7"/>
      <x:c r="J185" s="9"/>
      <x:c r="K185" s="10"/>
      <x:c r="L185" s="7"/>
      <x:c r="M185" s="8"/>
      <x:c r="N185" s="17"/>
      <x:c r="O185" s="17"/>
    </x:row>
    <x:row r="186" ht="15" hidden="0" customHeight="1">
      <x:c r="A186" s="7"/>
      <x:c r="B186" s="7"/>
      <x:c r="C186" s="7"/>
      <x:c r="D186" s="8"/>
      <x:c r="E186" s="7"/>
      <x:c r="F186" s="7"/>
      <x:c r="G186" s="7"/>
      <x:c r="H186" s="7"/>
      <x:c r="I186" s="7"/>
      <x:c r="J186" s="9"/>
      <x:c r="K186" s="10"/>
      <x:c r="L186" s="7"/>
      <x:c r="M186" s="8"/>
      <x:c r="N186" s="17"/>
      <x:c r="O186" s="17"/>
    </x:row>
    <x:row r="187" ht="15" hidden="0" customHeight="1">
      <x:c r="A187" s="7"/>
      <x:c r="B187" s="7"/>
      <x:c r="C187" s="7"/>
      <x:c r="D187" s="8"/>
      <x:c r="E187" s="7"/>
      <x:c r="F187" s="7"/>
      <x:c r="G187" s="7"/>
      <x:c r="H187" s="7"/>
      <x:c r="I187" s="7"/>
      <x:c r="J187" s="9"/>
      <x:c r="K187" s="10"/>
      <x:c r="L187" s="7"/>
      <x:c r="M187" s="8"/>
      <x:c r="N187" s="17"/>
      <x:c r="O187" s="17"/>
    </x:row>
    <x:row r="188" ht="15" hidden="0" customHeight="1">
      <x:c r="A188" s="7"/>
      <x:c r="B188" s="7"/>
      <x:c r="C188" s="7"/>
      <x:c r="D188" s="8"/>
      <x:c r="E188" s="7"/>
      <x:c r="F188" s="7"/>
      <x:c r="G188" s="7"/>
      <x:c r="H188" s="7"/>
      <x:c r="I188" s="7"/>
      <x:c r="J188" s="9"/>
      <x:c r="K188" s="10"/>
      <x:c r="L188" s="7"/>
      <x:c r="M188" s="8"/>
      <x:c r="N188" s="17"/>
      <x:c r="O188" s="17"/>
    </x:row>
    <x:row r="189" ht="15" hidden="0" customHeight="1">
      <x:c r="A189" s="7"/>
      <x:c r="B189" s="7"/>
      <x:c r="C189" s="7"/>
      <x:c r="D189" s="8"/>
      <x:c r="E189" s="7"/>
      <x:c r="F189" s="7"/>
      <x:c r="G189" s="7"/>
      <x:c r="H189" s="7"/>
      <x:c r="I189" s="7"/>
      <x:c r="J189" s="9"/>
      <x:c r="K189" s="10"/>
      <x:c r="L189" s="7"/>
      <x:c r="M189" s="8"/>
      <x:c r="N189" s="17"/>
      <x:c r="O189" s="17"/>
    </x:row>
    <x:row r="190" ht="15" hidden="0" customHeight="1">
      <x:c r="A190" s="7"/>
      <x:c r="B190" s="7"/>
      <x:c r="C190" s="7"/>
      <x:c r="D190" s="8"/>
      <x:c r="E190" s="7"/>
      <x:c r="F190" s="7"/>
      <x:c r="G190" s="7"/>
      <x:c r="H190" s="7"/>
      <x:c r="I190" s="7"/>
      <x:c r="J190" s="9"/>
      <x:c r="K190" s="10"/>
      <x:c r="L190" s="7"/>
      <x:c r="M190" s="8"/>
      <x:c r="N190" s="17"/>
      <x:c r="O190" s="17"/>
    </x:row>
    <x:row r="191" ht="15" hidden="0" customHeight="1">
      <x:c r="A191" s="7"/>
      <x:c r="B191" s="7"/>
      <x:c r="C191" s="7"/>
      <x:c r="D191" s="8"/>
      <x:c r="E191" s="7"/>
      <x:c r="F191" s="7"/>
      <x:c r="G191" s="7"/>
      <x:c r="H191" s="7"/>
      <x:c r="I191" s="7"/>
      <x:c r="J191" s="9"/>
      <x:c r="K191" s="10"/>
      <x:c r="L191" s="7"/>
      <x:c r="M191" s="8"/>
      <x:c r="N191" s="17"/>
      <x:c r="O191" s="17"/>
    </x:row>
    <x:row r="192" ht="15" hidden="0" customHeight="1">
      <x:c r="A192" s="7"/>
      <x:c r="B192" s="7"/>
      <x:c r="C192" s="7"/>
      <x:c r="D192" s="8"/>
      <x:c r="E192" s="7"/>
      <x:c r="F192" s="7"/>
      <x:c r="G192" s="7"/>
      <x:c r="H192" s="7"/>
      <x:c r="I192" s="7"/>
      <x:c r="J192" s="9"/>
      <x:c r="K192" s="10"/>
      <x:c r="L192" s="7"/>
      <x:c r="M192" s="8"/>
      <x:c r="N192" s="17"/>
      <x:c r="O192" s="17"/>
    </x:row>
    <x:row r="193" ht="15" hidden="0" customHeight="1">
      <x:c r="A193" s="7"/>
      <x:c r="B193" s="7"/>
      <x:c r="C193" s="7"/>
      <x:c r="D193" s="8"/>
      <x:c r="E193" s="7"/>
      <x:c r="F193" s="7"/>
      <x:c r="G193" s="7"/>
      <x:c r="H193" s="7"/>
      <x:c r="I193" s="7"/>
      <x:c r="J193" s="9"/>
      <x:c r="K193" s="10"/>
      <x:c r="L193" s="7"/>
      <x:c r="M193" s="8"/>
      <x:c r="N193" s="17"/>
      <x:c r="O193" s="17"/>
    </x:row>
    <x:row r="194" ht="15" hidden="0" customHeight="1">
      <x:c r="A194" s="7"/>
      <x:c r="B194" s="7"/>
      <x:c r="C194" s="7"/>
      <x:c r="D194" s="8"/>
      <x:c r="E194" s="7"/>
      <x:c r="F194" s="7"/>
      <x:c r="G194" s="7"/>
      <x:c r="H194" s="7"/>
      <x:c r="I194" s="7"/>
      <x:c r="J194" s="9"/>
      <x:c r="K194" s="10"/>
      <x:c r="L194" s="7"/>
      <x:c r="M194" s="8"/>
      <x:c r="N194" s="17"/>
      <x:c r="O194" s="17"/>
    </x:row>
    <x:row r="195" ht="15" hidden="0" customHeight="1">
      <x:c r="A195" s="7"/>
      <x:c r="B195" s="7"/>
      <x:c r="C195" s="7"/>
      <x:c r="D195" s="8"/>
      <x:c r="E195" s="7"/>
      <x:c r="F195" s="7"/>
      <x:c r="G195" s="7"/>
      <x:c r="H195" s="7"/>
      <x:c r="I195" s="7"/>
      <x:c r="J195" s="9"/>
      <x:c r="K195" s="10"/>
      <x:c r="L195" s="7"/>
      <x:c r="M195" s="8"/>
      <x:c r="N195" s="17"/>
      <x:c r="O195" s="17"/>
    </x:row>
    <x:row r="196" ht="15" hidden="0" customHeight="1">
      <x:c r="A196" s="7"/>
      <x:c r="B196" s="7"/>
      <x:c r="C196" s="7"/>
      <x:c r="D196" s="8"/>
      <x:c r="E196" s="7"/>
      <x:c r="F196" s="7"/>
      <x:c r="G196" s="7"/>
      <x:c r="H196" s="7"/>
      <x:c r="I196" s="7"/>
      <x:c r="J196" s="9"/>
      <x:c r="K196" s="10"/>
      <x:c r="L196" s="7"/>
      <x:c r="M196" s="8"/>
      <x:c r="N196" s="17"/>
      <x:c r="O196" s="17"/>
    </x:row>
    <x:row r="197" ht="15" hidden="0" customHeight="1">
      <x:c r="A197" s="7"/>
      <x:c r="B197" s="7"/>
      <x:c r="C197" s="7"/>
      <x:c r="D197" s="8"/>
      <x:c r="E197" s="7"/>
      <x:c r="F197" s="7"/>
      <x:c r="G197" s="7"/>
      <x:c r="H197" s="7"/>
      <x:c r="I197" s="7"/>
      <x:c r="J197" s="9"/>
      <x:c r="K197" s="10"/>
      <x:c r="L197" s="7"/>
      <x:c r="M197" s="8"/>
      <x:c r="N197" s="17"/>
      <x:c r="O197" s="17"/>
    </x:row>
    <x:row r="198" ht="15" hidden="0" customHeight="1">
      <x:c r="A198" s="7"/>
      <x:c r="B198" s="7"/>
      <x:c r="C198" s="7"/>
      <x:c r="D198" s="8"/>
      <x:c r="E198" s="7"/>
      <x:c r="F198" s="7"/>
      <x:c r="G198" s="7"/>
      <x:c r="H198" s="7"/>
      <x:c r="I198" s="7"/>
      <x:c r="J198" s="9"/>
      <x:c r="K198" s="10"/>
      <x:c r="L198" s="7"/>
      <x:c r="M198" s="8"/>
      <x:c r="N198" s="17"/>
      <x:c r="O198" s="17"/>
    </x:row>
    <x:row r="199" ht="15" hidden="0" customHeight="1">
      <x:c r="A199" s="7"/>
      <x:c r="B199" s="7"/>
      <x:c r="C199" s="7"/>
      <x:c r="D199" s="8"/>
      <x:c r="E199" s="7"/>
      <x:c r="F199" s="7"/>
      <x:c r="G199" s="7"/>
      <x:c r="H199" s="7"/>
      <x:c r="I199" s="7"/>
      <x:c r="J199" s="9"/>
      <x:c r="K199" s="10"/>
      <x:c r="L199" s="7"/>
      <x:c r="M199" s="8"/>
      <x:c r="N199" s="17"/>
      <x:c r="O199" s="17"/>
    </x:row>
    <x:row r="200" ht="15" hidden="0" customHeight="1">
      <x:c r="A200" s="7"/>
      <x:c r="B200" s="7"/>
      <x:c r="C200" s="7"/>
      <x:c r="D200" s="8"/>
      <x:c r="E200" s="7"/>
      <x:c r="F200" s="7"/>
      <x:c r="G200" s="7"/>
      <x:c r="H200" s="7"/>
      <x:c r="I200" s="7"/>
      <x:c r="J200" s="9"/>
      <x:c r="K200" s="10"/>
      <x:c r="L200" s="7"/>
      <x:c r="M200" s="8"/>
      <x:c r="N200" s="17"/>
      <x:c r="O200" s="17"/>
    </x:row>
    <x:row r="201" ht="15" hidden="0" customHeight="1">
      <x:c r="A201" s="7"/>
      <x:c r="B201" s="7"/>
      <x:c r="C201" s="7"/>
      <x:c r="D201" s="8"/>
      <x:c r="E201" s="7"/>
      <x:c r="F201" s="7"/>
      <x:c r="G201" s="7"/>
      <x:c r="H201" s="7"/>
      <x:c r="I201" s="7"/>
      <x:c r="J201" s="9"/>
      <x:c r="K201" s="10"/>
      <x:c r="L201" s="7"/>
      <x:c r="M201" s="8"/>
      <x:c r="N201" s="17"/>
      <x:c r="O201" s="17"/>
    </x:row>
    <x:row r="202" ht="15" hidden="0" customHeight="1">
      <x:c r="A202" s="7"/>
      <x:c r="B202" s="7"/>
      <x:c r="C202" s="7"/>
      <x:c r="D202" s="8"/>
      <x:c r="E202" s="7"/>
      <x:c r="F202" s="7"/>
      <x:c r="G202" s="7"/>
      <x:c r="H202" s="7"/>
      <x:c r="I202" s="7"/>
      <x:c r="J202" s="9"/>
      <x:c r="K202" s="10"/>
      <x:c r="L202" s="7"/>
      <x:c r="M202" s="8"/>
      <x:c r="N202" s="17"/>
      <x:c r="O202" s="17"/>
    </x:row>
    <x:row r="203" ht="15" hidden="0" customHeight="1">
      <x:c r="A203" s="7"/>
      <x:c r="B203" s="7"/>
      <x:c r="C203" s="7"/>
      <x:c r="D203" s="8"/>
      <x:c r="E203" s="7"/>
      <x:c r="F203" s="7"/>
      <x:c r="G203" s="7"/>
      <x:c r="H203" s="7"/>
      <x:c r="I203" s="7"/>
      <x:c r="J203" s="9"/>
      <x:c r="K203" s="10"/>
      <x:c r="L203" s="7"/>
      <x:c r="M203" s="8"/>
      <x:c r="N203" s="17"/>
      <x:c r="O203" s="17"/>
    </x:row>
    <x:row r="204" ht="15" hidden="0" customHeight="1">
      <x:c r="A204" s="7"/>
      <x:c r="B204" s="7"/>
      <x:c r="C204" s="7"/>
      <x:c r="D204" s="8"/>
      <x:c r="E204" s="7"/>
      <x:c r="F204" s="7"/>
      <x:c r="G204" s="7"/>
      <x:c r="H204" s="7"/>
      <x:c r="I204" s="7"/>
      <x:c r="J204" s="9"/>
      <x:c r="K204" s="10"/>
      <x:c r="L204" s="7"/>
      <x:c r="M204" s="8"/>
      <x:c r="N204" s="17"/>
      <x:c r="O204" s="17"/>
    </x:row>
    <x:row r="205" ht="15" hidden="0" customHeight="1">
      <x:c r="A205" s="7"/>
      <x:c r="B205" s="7"/>
      <x:c r="C205" s="7"/>
      <x:c r="D205" s="8"/>
      <x:c r="E205" s="7"/>
      <x:c r="F205" s="7"/>
      <x:c r="G205" s="7"/>
      <x:c r="H205" s="7"/>
      <x:c r="I205" s="7"/>
      <x:c r="J205" s="9"/>
      <x:c r="K205" s="10"/>
      <x:c r="L205" s="7"/>
      <x:c r="M205" s="8"/>
      <x:c r="N205" s="17"/>
      <x:c r="O205" s="17"/>
    </x:row>
    <x:row r="206" ht="15" hidden="0" customHeight="1">
      <x:c r="A206" s="7"/>
      <x:c r="B206" s="7"/>
      <x:c r="C206" s="7"/>
      <x:c r="D206" s="8"/>
      <x:c r="E206" s="7"/>
      <x:c r="F206" s="7"/>
      <x:c r="G206" s="7"/>
      <x:c r="H206" s="7"/>
      <x:c r="I206" s="7"/>
      <x:c r="J206" s="9"/>
      <x:c r="K206" s="10"/>
      <x:c r="L206" s="7"/>
      <x:c r="M206" s="8"/>
      <x:c r="N206" s="17"/>
      <x:c r="O206" s="17"/>
    </x:row>
    <x:row r="207" ht="15" hidden="0" customHeight="1">
      <x:c r="A207" s="7"/>
      <x:c r="B207" s="7"/>
      <x:c r="C207" s="7"/>
      <x:c r="D207" s="8"/>
      <x:c r="E207" s="7"/>
      <x:c r="F207" s="7"/>
      <x:c r="G207" s="7"/>
      <x:c r="H207" s="7"/>
      <x:c r="I207" s="7"/>
      <x:c r="J207" s="9"/>
      <x:c r="K207" s="10"/>
      <x:c r="L207" s="7"/>
      <x:c r="M207" s="8"/>
      <x:c r="N207" s="17"/>
      <x:c r="O207" s="17"/>
    </x:row>
    <x:row r="208" ht="15" hidden="0" customHeight="1">
      <x:c r="A208" s="7"/>
      <x:c r="B208" s="7"/>
      <x:c r="C208" s="7"/>
      <x:c r="D208" s="8"/>
      <x:c r="E208" s="7"/>
      <x:c r="F208" s="7"/>
      <x:c r="G208" s="7"/>
      <x:c r="H208" s="7"/>
      <x:c r="I208" s="7"/>
      <x:c r="J208" s="9"/>
      <x:c r="K208" s="10"/>
      <x:c r="L208" s="7"/>
      <x:c r="M208" s="8"/>
      <x:c r="N208" s="17"/>
      <x:c r="O208" s="17"/>
    </x:row>
    <x:row r="209" ht="15" hidden="0" customHeight="1">
      <x:c r="A209" s="7"/>
      <x:c r="B209" s="7"/>
      <x:c r="C209" s="7"/>
      <x:c r="D209" s="8"/>
      <x:c r="E209" s="7"/>
      <x:c r="F209" s="7"/>
      <x:c r="G209" s="7"/>
      <x:c r="H209" s="7"/>
      <x:c r="I209" s="7"/>
      <x:c r="J209" s="9"/>
      <x:c r="K209" s="10"/>
      <x:c r="L209" s="7"/>
      <x:c r="M209" s="8"/>
      <x:c r="N209" s="17"/>
      <x:c r="O209" s="17"/>
    </x:row>
    <x:row r="210" ht="15" hidden="0" customHeight="1">
      <x:c r="A210" s="7"/>
      <x:c r="B210" s="7"/>
      <x:c r="C210" s="7"/>
      <x:c r="D210" s="8"/>
      <x:c r="E210" s="7"/>
      <x:c r="F210" s="7"/>
      <x:c r="G210" s="7"/>
      <x:c r="H210" s="7"/>
      <x:c r="I210" s="7"/>
      <x:c r="J210" s="9"/>
      <x:c r="K210" s="10"/>
      <x:c r="L210" s="7"/>
      <x:c r="M210" s="8"/>
      <x:c r="N210" s="17"/>
      <x:c r="O210" s="17"/>
    </x:row>
    <x:row r="211" ht="15" hidden="0" customHeight="1">
      <x:c r="A211" s="7"/>
      <x:c r="B211" s="7"/>
      <x:c r="C211" s="7"/>
      <x:c r="D211" s="8"/>
      <x:c r="E211" s="7"/>
      <x:c r="F211" s="7"/>
      <x:c r="G211" s="7"/>
      <x:c r="H211" s="7"/>
      <x:c r="I211" s="7"/>
      <x:c r="J211" s="9"/>
      <x:c r="K211" s="10"/>
      <x:c r="L211" s="7"/>
      <x:c r="M211" s="8"/>
      <x:c r="N211" s="17"/>
      <x:c r="O211" s="17"/>
    </x:row>
    <x:row r="212" ht="15" hidden="0" customHeight="1">
      <x:c r="A212" s="7"/>
      <x:c r="B212" s="7"/>
      <x:c r="C212" s="7"/>
      <x:c r="D212" s="8"/>
      <x:c r="E212" s="7"/>
      <x:c r="F212" s="7"/>
      <x:c r="G212" s="7"/>
      <x:c r="H212" s="7"/>
      <x:c r="I212" s="7"/>
      <x:c r="J212" s="9"/>
      <x:c r="K212" s="10"/>
      <x:c r="L212" s="7"/>
      <x:c r="M212" s="8"/>
      <x:c r="N212" s="17"/>
      <x:c r="O212" s="17"/>
    </x:row>
    <x:row r="213" ht="15" hidden="0" customHeight="1">
      <x:c r="A213" s="7"/>
      <x:c r="B213" s="7"/>
      <x:c r="C213" s="7"/>
      <x:c r="D213" s="8"/>
      <x:c r="E213" s="7"/>
      <x:c r="F213" s="7"/>
      <x:c r="G213" s="7"/>
      <x:c r="H213" s="7"/>
      <x:c r="I213" s="7"/>
      <x:c r="J213" s="9"/>
      <x:c r="K213" s="10"/>
      <x:c r="L213" s="7"/>
      <x:c r="M213" s="8"/>
      <x:c r="N213" s="17"/>
      <x:c r="O213" s="17"/>
    </x:row>
    <x:row r="214" ht="15" hidden="0" customHeight="1">
      <x:c r="A214" s="7"/>
      <x:c r="B214" s="7"/>
      <x:c r="C214" s="7"/>
      <x:c r="D214" s="8"/>
      <x:c r="E214" s="7"/>
      <x:c r="F214" s="7"/>
      <x:c r="G214" s="7"/>
      <x:c r="H214" s="7"/>
      <x:c r="I214" s="7"/>
      <x:c r="J214" s="9"/>
      <x:c r="K214" s="10"/>
      <x:c r="L214" s="7"/>
      <x:c r="M214" s="8"/>
      <x:c r="N214" s="17"/>
      <x:c r="O214" s="17"/>
    </x:row>
    <x:row r="215" ht="15" hidden="0" customHeight="1">
      <x:c r="A215" s="7"/>
      <x:c r="B215" s="7"/>
      <x:c r="C215" s="7"/>
      <x:c r="D215" s="8"/>
      <x:c r="E215" s="7"/>
      <x:c r="F215" s="7"/>
      <x:c r="G215" s="7"/>
      <x:c r="H215" s="7"/>
      <x:c r="I215" s="7"/>
      <x:c r="J215" s="9"/>
      <x:c r="K215" s="10"/>
      <x:c r="L215" s="7"/>
      <x:c r="M215" s="8"/>
      <x:c r="N215" s="17"/>
      <x:c r="O215" s="17"/>
    </x:row>
    <x:row r="216" ht="15" hidden="0" customHeight="1">
      <x:c r="A216" s="7"/>
      <x:c r="B216" s="7"/>
      <x:c r="C216" s="7"/>
      <x:c r="D216" s="8"/>
      <x:c r="E216" s="7"/>
      <x:c r="F216" s="7"/>
      <x:c r="G216" s="7"/>
      <x:c r="H216" s="7"/>
      <x:c r="I216" s="7"/>
      <x:c r="J216" s="9"/>
      <x:c r="K216" s="10"/>
      <x:c r="L216" s="7"/>
      <x:c r="M216" s="8"/>
      <x:c r="N216" s="17"/>
      <x:c r="O216" s="17"/>
    </x:row>
    <x:row r="217" ht="15" hidden="0" customHeight="1">
      <x:c r="A217" s="7"/>
      <x:c r="B217" s="7"/>
      <x:c r="C217" s="7"/>
      <x:c r="D217" s="8"/>
      <x:c r="E217" s="7"/>
      <x:c r="F217" s="7"/>
      <x:c r="G217" s="7"/>
      <x:c r="H217" s="7"/>
      <x:c r="I217" s="7"/>
      <x:c r="J217" s="9"/>
      <x:c r="K217" s="10"/>
      <x:c r="L217" s="7"/>
      <x:c r="M217" s="8"/>
      <x:c r="N217" s="17"/>
      <x:c r="O217" s="17"/>
    </x:row>
    <x:row r="218" ht="15" hidden="0" customHeight="1">
      <x:c r="A218" s="7"/>
      <x:c r="B218" s="7"/>
      <x:c r="C218" s="7"/>
      <x:c r="D218" s="8"/>
      <x:c r="E218" s="7"/>
      <x:c r="F218" s="7"/>
      <x:c r="G218" s="7"/>
      <x:c r="H218" s="7"/>
      <x:c r="I218" s="7"/>
      <x:c r="J218" s="9"/>
      <x:c r="K218" s="10"/>
      <x:c r="L218" s="7"/>
      <x:c r="M218" s="8"/>
      <x:c r="N218" s="17"/>
      <x:c r="O218" s="17"/>
    </x:row>
    <x:row r="219" ht="15" hidden="0" customHeight="1">
      <x:c r="A219" s="7"/>
      <x:c r="B219" s="7"/>
      <x:c r="C219" s="7"/>
      <x:c r="D219" s="8"/>
      <x:c r="E219" s="7"/>
      <x:c r="F219" s="7"/>
      <x:c r="G219" s="7"/>
      <x:c r="H219" s="7"/>
      <x:c r="I219" s="7"/>
      <x:c r="J219" s="9"/>
      <x:c r="K219" s="10"/>
      <x:c r="L219" s="7"/>
      <x:c r="M219" s="8"/>
      <x:c r="N219" s="17"/>
      <x:c r="O219" s="17"/>
    </x:row>
    <x:row r="220" ht="15" hidden="0" customHeight="1">
      <x:c r="A220" s="7"/>
      <x:c r="B220" s="7"/>
      <x:c r="C220" s="7"/>
      <x:c r="D220" s="8"/>
      <x:c r="E220" s="7"/>
      <x:c r="F220" s="7"/>
      <x:c r="G220" s="7"/>
      <x:c r="H220" s="7"/>
      <x:c r="I220" s="7"/>
      <x:c r="J220" s="9"/>
      <x:c r="K220" s="10"/>
      <x:c r="L220" s="7"/>
      <x:c r="M220" s="8"/>
      <x:c r="N220" s="17"/>
      <x:c r="O220" s="17"/>
    </x:row>
    <x:row r="221" ht="15" hidden="0" customHeight="1">
      <x:c r="A221" s="7"/>
      <x:c r="B221" s="7"/>
      <x:c r="C221" s="7"/>
      <x:c r="D221" s="8"/>
      <x:c r="E221" s="7"/>
      <x:c r="F221" s="7"/>
      <x:c r="G221" s="7"/>
      <x:c r="H221" s="7"/>
      <x:c r="I221" s="7"/>
      <x:c r="J221" s="9"/>
      <x:c r="K221" s="10"/>
      <x:c r="L221" s="7"/>
      <x:c r="M221" s="8"/>
      <x:c r="N221" s="17"/>
      <x:c r="O221" s="17"/>
    </x:row>
    <x:row r="222" ht="15" hidden="0" customHeight="1">
      <x:c r="A222" s="7"/>
      <x:c r="B222" s="7"/>
      <x:c r="C222" s="7"/>
      <x:c r="D222" s="8"/>
      <x:c r="E222" s="7"/>
      <x:c r="F222" s="7"/>
      <x:c r="G222" s="7"/>
      <x:c r="H222" s="7"/>
      <x:c r="I222" s="7"/>
      <x:c r="J222" s="9"/>
      <x:c r="K222" s="10"/>
      <x:c r="L222" s="7"/>
      <x:c r="M222" s="8"/>
      <x:c r="N222" s="17"/>
      <x:c r="O222" s="17"/>
    </x:row>
    <x:row r="223" ht="15" hidden="0" customHeight="1">
      <x:c r="A223" s="7"/>
      <x:c r="B223" s="7"/>
      <x:c r="C223" s="7"/>
      <x:c r="D223" s="8"/>
      <x:c r="E223" s="7"/>
      <x:c r="F223" s="7"/>
      <x:c r="G223" s="7"/>
      <x:c r="H223" s="7"/>
      <x:c r="I223" s="7"/>
      <x:c r="J223" s="9"/>
      <x:c r="K223" s="10"/>
      <x:c r="L223" s="7"/>
      <x:c r="M223" s="8"/>
      <x:c r="N223" s="17"/>
      <x:c r="O223" s="17"/>
    </x:row>
    <x:row r="224" ht="15" hidden="0" customHeight="1">
      <x:c r="A224" s="7"/>
      <x:c r="B224" s="7"/>
      <x:c r="C224" s="7"/>
      <x:c r="D224" s="8"/>
      <x:c r="E224" s="7"/>
      <x:c r="F224" s="7"/>
      <x:c r="G224" s="7"/>
      <x:c r="H224" s="7"/>
      <x:c r="I224" s="7"/>
      <x:c r="J224" s="9"/>
      <x:c r="K224" s="10"/>
      <x:c r="L224" s="7"/>
      <x:c r="M224" s="8"/>
      <x:c r="N224" s="17"/>
      <x:c r="O224" s="17"/>
    </x:row>
    <x:row r="225" ht="15" hidden="0" customHeight="1">
      <x:c r="A225" s="7"/>
      <x:c r="B225" s="7"/>
      <x:c r="C225" s="7"/>
      <x:c r="D225" s="8"/>
      <x:c r="E225" s="7"/>
      <x:c r="F225" s="7"/>
      <x:c r="G225" s="7"/>
      <x:c r="H225" s="7"/>
      <x:c r="I225" s="7"/>
      <x:c r="J225" s="9"/>
      <x:c r="K225" s="10"/>
      <x:c r="L225" s="7"/>
      <x:c r="M225" s="8"/>
      <x:c r="N225" s="17"/>
      <x:c r="O225" s="17"/>
    </x:row>
    <x:row r="226" ht="15" hidden="0" customHeight="1">
      <x:c r="A226" s="7"/>
      <x:c r="B226" s="7"/>
      <x:c r="C226" s="7"/>
      <x:c r="D226" s="8"/>
      <x:c r="E226" s="7"/>
      <x:c r="F226" s="7"/>
      <x:c r="G226" s="7"/>
      <x:c r="H226" s="7"/>
      <x:c r="I226" s="7"/>
      <x:c r="J226" s="9"/>
      <x:c r="K226" s="10"/>
      <x:c r="L226" s="7"/>
      <x:c r="M226" s="8"/>
      <x:c r="N226" s="17"/>
      <x:c r="O226" s="17"/>
    </x:row>
    <x:row r="227" ht="15" hidden="0" customHeight="1">
      <x:c r="A227" s="7"/>
      <x:c r="B227" s="7"/>
      <x:c r="C227" s="7"/>
      <x:c r="D227" s="8"/>
      <x:c r="E227" s="7"/>
      <x:c r="F227" s="7"/>
      <x:c r="G227" s="7"/>
      <x:c r="H227" s="7"/>
      <x:c r="I227" s="7"/>
      <x:c r="J227" s="9"/>
      <x:c r="K227" s="10"/>
      <x:c r="L227" s="7"/>
      <x:c r="M227" s="8"/>
      <x:c r="N227" s="17"/>
      <x:c r="O227" s="17"/>
    </x:row>
    <x:row r="228" ht="15" hidden="0" customHeight="1">
      <x:c r="A228" s="7"/>
      <x:c r="B228" s="7"/>
      <x:c r="C228" s="7"/>
      <x:c r="D228" s="8"/>
      <x:c r="E228" s="7"/>
      <x:c r="F228" s="7"/>
      <x:c r="G228" s="7"/>
      <x:c r="H228" s="7"/>
      <x:c r="I228" s="7"/>
      <x:c r="J228" s="9"/>
      <x:c r="K228" s="10"/>
      <x:c r="L228" s="7"/>
      <x:c r="M228" s="8"/>
      <x:c r="N228" s="17"/>
      <x:c r="O228" s="17"/>
    </x:row>
    <x:row r="229" ht="15" hidden="0" customHeight="1">
      <x:c r="A229" s="7"/>
      <x:c r="B229" s="7"/>
      <x:c r="C229" s="7"/>
      <x:c r="D229" s="8"/>
      <x:c r="E229" s="7"/>
      <x:c r="F229" s="7"/>
      <x:c r="G229" s="7"/>
      <x:c r="H229" s="7"/>
      <x:c r="I229" s="7"/>
      <x:c r="J229" s="9"/>
      <x:c r="K229" s="10"/>
      <x:c r="L229" s="7"/>
      <x:c r="M229" s="8"/>
      <x:c r="N229" s="17"/>
      <x:c r="O229" s="17"/>
    </x:row>
    <x:row r="230" ht="15" hidden="0" customHeight="1">
      <x:c r="A230" s="7"/>
      <x:c r="B230" s="7"/>
      <x:c r="C230" s="7"/>
      <x:c r="D230" s="8"/>
      <x:c r="E230" s="7"/>
      <x:c r="F230" s="7"/>
      <x:c r="G230" s="7"/>
      <x:c r="H230" s="7"/>
      <x:c r="I230" s="7"/>
      <x:c r="J230" s="9"/>
      <x:c r="K230" s="10"/>
      <x:c r="L230" s="7"/>
      <x:c r="M230" s="8"/>
      <x:c r="N230" s="17"/>
      <x:c r="O230" s="17"/>
    </x:row>
    <x:row r="231" ht="15" hidden="0" customHeight="1">
      <x:c r="A231" s="7"/>
      <x:c r="B231" s="7"/>
      <x:c r="C231" s="7"/>
      <x:c r="D231" s="8"/>
      <x:c r="E231" s="7"/>
      <x:c r="F231" s="7"/>
      <x:c r="G231" s="7"/>
      <x:c r="H231" s="7"/>
      <x:c r="I231" s="7"/>
      <x:c r="J231" s="9"/>
      <x:c r="K231" s="10"/>
      <x:c r="L231" s="7"/>
      <x:c r="M231" s="8"/>
      <x:c r="N231" s="17"/>
      <x:c r="O231" s="17"/>
    </x:row>
    <x:row r="232" ht="15" hidden="0" customHeight="1">
      <x:c r="A232" s="7"/>
      <x:c r="B232" s="7"/>
      <x:c r="C232" s="7"/>
      <x:c r="D232" s="8"/>
      <x:c r="E232" s="7"/>
      <x:c r="F232" s="7"/>
      <x:c r="G232" s="7"/>
      <x:c r="H232" s="7"/>
      <x:c r="I232" s="7"/>
      <x:c r="J232" s="9"/>
      <x:c r="K232" s="10"/>
      <x:c r="L232" s="7"/>
      <x:c r="M232" s="8"/>
      <x:c r="N232" s="17"/>
      <x:c r="O232" s="17"/>
    </x:row>
    <x:row r="233" ht="15" hidden="0" customHeight="1">
      <x:c r="A233" s="7"/>
      <x:c r="B233" s="7"/>
      <x:c r="C233" s="7"/>
      <x:c r="D233" s="8"/>
      <x:c r="E233" s="7"/>
      <x:c r="F233" s="7"/>
      <x:c r="G233" s="7"/>
      <x:c r="H233" s="7"/>
      <x:c r="I233" s="7"/>
      <x:c r="J233" s="9"/>
      <x:c r="K233" s="10"/>
      <x:c r="L233" s="7"/>
      <x:c r="M233" s="8"/>
      <x:c r="N233" s="17"/>
      <x:c r="O233" s="17"/>
    </x:row>
    <x:row r="234" ht="15" hidden="0" customHeight="1">
      <x:c r="A234" s="7"/>
      <x:c r="B234" s="7"/>
      <x:c r="C234" s="7"/>
      <x:c r="D234" s="8"/>
      <x:c r="E234" s="7"/>
      <x:c r="F234" s="7"/>
      <x:c r="G234" s="7"/>
      <x:c r="H234" s="7"/>
      <x:c r="I234" s="7"/>
      <x:c r="J234" s="9"/>
      <x:c r="K234" s="10"/>
      <x:c r="L234" s="7"/>
      <x:c r="M234" s="8"/>
      <x:c r="N234" s="17"/>
      <x:c r="O234" s="17"/>
    </x:row>
    <x:row r="235" ht="15" hidden="0" customHeight="1">
      <x:c r="A235" s="7"/>
      <x:c r="B235" s="7"/>
      <x:c r="C235" s="7"/>
      <x:c r="D235" s="8"/>
      <x:c r="E235" s="7"/>
      <x:c r="F235" s="7"/>
      <x:c r="G235" s="7"/>
      <x:c r="H235" s="7"/>
      <x:c r="I235" s="7"/>
      <x:c r="J235" s="9"/>
      <x:c r="K235" s="10"/>
      <x:c r="L235" s="7"/>
      <x:c r="M235" s="8"/>
      <x:c r="N235" s="17"/>
      <x:c r="O235" s="17"/>
    </x:row>
    <x:row r="236" ht="15" hidden="0" customHeight="1">
      <x:c r="A236" s="7"/>
      <x:c r="B236" s="7"/>
      <x:c r="C236" s="7"/>
      <x:c r="D236" s="8"/>
      <x:c r="E236" s="7"/>
      <x:c r="F236" s="7"/>
      <x:c r="G236" s="7"/>
      <x:c r="H236" s="7"/>
      <x:c r="I236" s="7"/>
      <x:c r="J236" s="9"/>
      <x:c r="K236" s="10"/>
      <x:c r="L236" s="7"/>
      <x:c r="M236" s="8"/>
      <x:c r="N236" s="17"/>
      <x:c r="O236" s="17"/>
    </x:row>
    <x:row r="237" ht="15" hidden="0" customHeight="1">
      <x:c r="A237" s="7"/>
      <x:c r="B237" s="7"/>
      <x:c r="C237" s="7"/>
      <x:c r="D237" s="8"/>
      <x:c r="E237" s="7"/>
      <x:c r="F237" s="7"/>
      <x:c r="G237" s="7"/>
      <x:c r="H237" s="7"/>
      <x:c r="I237" s="7"/>
      <x:c r="J237" s="9"/>
      <x:c r="K237" s="10"/>
      <x:c r="L237" s="7"/>
      <x:c r="M237" s="8"/>
      <x:c r="N237" s="17"/>
      <x:c r="O237" s="17"/>
    </x:row>
    <x:row r="238" ht="15" hidden="0" customHeight="1">
      <x:c r="A238" s="7"/>
      <x:c r="B238" s="7"/>
      <x:c r="C238" s="7"/>
      <x:c r="D238" s="8"/>
      <x:c r="E238" s="7"/>
      <x:c r="F238" s="7"/>
      <x:c r="G238" s="7"/>
      <x:c r="H238" s="7"/>
      <x:c r="I238" s="7"/>
      <x:c r="J238" s="9"/>
      <x:c r="K238" s="10"/>
      <x:c r="L238" s="7"/>
      <x:c r="M238" s="8"/>
      <x:c r="N238" s="17"/>
      <x:c r="O238" s="17"/>
    </x:row>
    <x:row r="239" ht="15" hidden="0" customHeight="1">
      <x:c r="A239" s="7"/>
      <x:c r="B239" s="7"/>
      <x:c r="C239" s="7"/>
      <x:c r="D239" s="8"/>
      <x:c r="E239" s="7"/>
      <x:c r="F239" s="7"/>
      <x:c r="G239" s="7"/>
      <x:c r="H239" s="7"/>
      <x:c r="I239" s="7"/>
      <x:c r="J239" s="9"/>
      <x:c r="K239" s="10"/>
      <x:c r="L239" s="7"/>
      <x:c r="M239" s="8"/>
      <x:c r="N239" s="17"/>
      <x:c r="O239" s="17"/>
    </x:row>
    <x:row r="240" ht="15" hidden="0" customHeight="1">
      <x:c r="A240" s="7"/>
      <x:c r="B240" s="7"/>
      <x:c r="C240" s="7"/>
      <x:c r="D240" s="8"/>
      <x:c r="E240" s="7"/>
      <x:c r="F240" s="7"/>
      <x:c r="G240" s="7"/>
      <x:c r="H240" s="7"/>
      <x:c r="I240" s="7"/>
      <x:c r="J240" s="9"/>
      <x:c r="K240" s="10"/>
      <x:c r="L240" s="7"/>
      <x:c r="M240" s="8"/>
      <x:c r="N240" s="17"/>
      <x:c r="O240" s="17"/>
    </x:row>
    <x:row r="241" ht="15" hidden="0" customHeight="1">
      <x:c r="A241" s="7"/>
      <x:c r="B241" s="7"/>
      <x:c r="C241" s="7"/>
      <x:c r="D241" s="8"/>
      <x:c r="E241" s="7"/>
      <x:c r="F241" s="7"/>
      <x:c r="G241" s="7"/>
      <x:c r="H241" s="7"/>
      <x:c r="I241" s="7"/>
      <x:c r="J241" s="9"/>
      <x:c r="K241" s="10"/>
      <x:c r="L241" s="7"/>
      <x:c r="M241" s="8"/>
      <x:c r="N241" s="17"/>
      <x:c r="O241" s="17"/>
    </x:row>
    <x:row r="242" ht="15" hidden="0" customHeight="1">
      <x:c r="A242" s="7"/>
      <x:c r="B242" s="7"/>
      <x:c r="C242" s="7"/>
      <x:c r="D242" s="8"/>
      <x:c r="E242" s="7"/>
      <x:c r="F242" s="7"/>
      <x:c r="G242" s="7"/>
      <x:c r="H242" s="7"/>
      <x:c r="I242" s="7"/>
      <x:c r="J242" s="9"/>
      <x:c r="K242" s="10"/>
      <x:c r="L242" s="7"/>
      <x:c r="M242" s="8"/>
      <x:c r="N242" s="17"/>
      <x:c r="O242" s="17"/>
    </x:row>
    <x:row r="243" ht="15" hidden="0" customHeight="1">
      <x:c r="A243" s="7"/>
      <x:c r="B243" s="7"/>
      <x:c r="C243" s="7"/>
      <x:c r="D243" s="8"/>
      <x:c r="E243" s="7"/>
      <x:c r="F243" s="7"/>
      <x:c r="G243" s="7"/>
      <x:c r="H243" s="7"/>
      <x:c r="I243" s="7"/>
      <x:c r="J243" s="9"/>
      <x:c r="K243" s="10"/>
      <x:c r="L243" s="7"/>
      <x:c r="M243" s="8"/>
      <x:c r="N243" s="17"/>
      <x:c r="O243" s="17"/>
    </x:row>
    <x:row r="244" ht="15" hidden="0" customHeight="1">
      <x:c r="A244" s="7"/>
      <x:c r="B244" s="7"/>
      <x:c r="C244" s="7"/>
      <x:c r="D244" s="8"/>
      <x:c r="E244" s="7"/>
      <x:c r="F244" s="7"/>
      <x:c r="G244" s="7"/>
      <x:c r="H244" s="7"/>
      <x:c r="I244" s="7"/>
      <x:c r="J244" s="9"/>
      <x:c r="K244" s="10"/>
      <x:c r="L244" s="7"/>
      <x:c r="M244" s="8"/>
      <x:c r="N244" s="17"/>
      <x:c r="O244" s="17"/>
    </x:row>
    <x:row r="245" ht="15" hidden="0" customHeight="1">
      <x:c r="A245" s="7"/>
      <x:c r="B245" s="7"/>
      <x:c r="C245" s="7"/>
      <x:c r="D245" s="8"/>
      <x:c r="E245" s="7"/>
      <x:c r="F245" s="7"/>
      <x:c r="G245" s="7"/>
      <x:c r="H245" s="7"/>
      <x:c r="I245" s="7"/>
      <x:c r="J245" s="9"/>
      <x:c r="K245" s="10"/>
      <x:c r="L245" s="7"/>
      <x:c r="M245" s="8"/>
      <x:c r="N245" s="17"/>
      <x:c r="O245" s="17"/>
    </x:row>
    <x:row r="246" ht="15" hidden="0" customHeight="1">
      <x:c r="A246" s="7"/>
      <x:c r="B246" s="7"/>
      <x:c r="C246" s="7"/>
      <x:c r="D246" s="8"/>
      <x:c r="E246" s="7"/>
      <x:c r="F246" s="7"/>
      <x:c r="G246" s="7"/>
      <x:c r="H246" s="7"/>
      <x:c r="I246" s="7"/>
      <x:c r="J246" s="9"/>
      <x:c r="K246" s="10"/>
      <x:c r="L246" s="7"/>
      <x:c r="M246" s="8"/>
      <x:c r="N246" s="17"/>
      <x:c r="O246" s="17"/>
    </x:row>
    <x:row r="247" ht="15" hidden="0" customHeight="1">
      <x:c r="A247" s="7"/>
      <x:c r="B247" s="7"/>
      <x:c r="C247" s="7"/>
      <x:c r="D247" s="8"/>
      <x:c r="E247" s="7"/>
      <x:c r="F247" s="7"/>
      <x:c r="G247" s="7"/>
      <x:c r="H247" s="7"/>
      <x:c r="I247" s="7"/>
      <x:c r="J247" s="9"/>
      <x:c r="K247" s="10"/>
      <x:c r="L247" s="7"/>
      <x:c r="M247" s="8"/>
      <x:c r="N247" s="17"/>
      <x:c r="O247" s="17"/>
    </x:row>
    <x:row r="248" ht="15" hidden="0" customHeight="1">
      <x:c r="A248" s="7"/>
      <x:c r="B248" s="7"/>
      <x:c r="C248" s="7"/>
      <x:c r="D248" s="8"/>
      <x:c r="E248" s="7"/>
      <x:c r="F248" s="7"/>
      <x:c r="G248" s="7"/>
      <x:c r="H248" s="7"/>
      <x:c r="I248" s="7"/>
      <x:c r="J248" s="9"/>
      <x:c r="K248" s="10"/>
      <x:c r="L248" s="7"/>
      <x:c r="M248" s="8"/>
      <x:c r="N248" s="17"/>
      <x:c r="O248" s="17"/>
    </x:row>
    <x:row r="249" ht="15" hidden="0" customHeight="1">
      <x:c r="A249" s="7"/>
      <x:c r="B249" s="7"/>
      <x:c r="C249" s="7"/>
      <x:c r="D249" s="8"/>
      <x:c r="E249" s="7"/>
      <x:c r="F249" s="7"/>
      <x:c r="G249" s="7"/>
      <x:c r="H249" s="7"/>
      <x:c r="I249" s="7"/>
      <x:c r="J249" s="9"/>
      <x:c r="K249" s="10"/>
      <x:c r="L249" s="7"/>
      <x:c r="M249" s="8"/>
      <x:c r="N249" s="17"/>
      <x:c r="O249" s="17"/>
    </x:row>
    <x:row r="250" ht="15" hidden="0" customHeight="1">
      <x:c r="A250" s="7"/>
      <x:c r="B250" s="7"/>
      <x:c r="C250" s="7"/>
      <x:c r="D250" s="8"/>
      <x:c r="E250" s="7"/>
      <x:c r="F250" s="7"/>
      <x:c r="G250" s="7"/>
      <x:c r="H250" s="7"/>
      <x:c r="I250" s="7"/>
      <x:c r="J250" s="9"/>
      <x:c r="K250" s="10"/>
      <x:c r="L250" s="7"/>
      <x:c r="M250" s="8"/>
      <x:c r="N250" s="17"/>
      <x:c r="O250" s="17"/>
    </x:row>
    <x:row r="251" ht="15" hidden="0" customHeight="1">
      <x:c r="A251" s="7"/>
      <x:c r="B251" s="7"/>
      <x:c r="C251" s="7"/>
      <x:c r="D251" s="8"/>
      <x:c r="E251" s="7"/>
      <x:c r="F251" s="7"/>
      <x:c r="G251" s="7"/>
      <x:c r="H251" s="7"/>
      <x:c r="I251" s="7"/>
      <x:c r="J251" s="9"/>
      <x:c r="K251" s="10"/>
      <x:c r="L251" s="7"/>
      <x:c r="M251" s="8"/>
      <x:c r="N251" s="17"/>
      <x:c r="O251" s="17"/>
    </x:row>
    <x:row r="252" ht="15" hidden="0" customHeight="1">
      <x:c r="A252" s="7"/>
      <x:c r="B252" s="7"/>
      <x:c r="C252" s="7"/>
      <x:c r="D252" s="8"/>
      <x:c r="E252" s="7"/>
      <x:c r="F252" s="7"/>
      <x:c r="G252" s="7"/>
      <x:c r="H252" s="7"/>
      <x:c r="I252" s="7"/>
      <x:c r="J252" s="9"/>
      <x:c r="K252" s="10"/>
      <x:c r="L252" s="7"/>
      <x:c r="M252" s="8"/>
      <x:c r="N252" s="17"/>
      <x:c r="O252" s="17"/>
    </x:row>
    <x:row r="253" ht="15" hidden="0" customHeight="1">
      <x:c r="A253" s="7"/>
      <x:c r="B253" s="7"/>
      <x:c r="C253" s="7"/>
      <x:c r="D253" s="8"/>
      <x:c r="E253" s="7"/>
      <x:c r="F253" s="7"/>
      <x:c r="G253" s="7"/>
      <x:c r="H253" s="7"/>
      <x:c r="I253" s="7"/>
      <x:c r="J253" s="9"/>
      <x:c r="K253" s="10"/>
      <x:c r="L253" s="7"/>
      <x:c r="M253" s="8"/>
      <x:c r="N253" s="17"/>
      <x:c r="O253" s="17"/>
    </x:row>
    <x:row r="254" ht="15" hidden="0" customHeight="1">
      <x:c r="A254" s="7"/>
      <x:c r="B254" s="7"/>
      <x:c r="C254" s="7"/>
      <x:c r="D254" s="8"/>
      <x:c r="E254" s="7"/>
      <x:c r="F254" s="7"/>
      <x:c r="G254" s="7"/>
      <x:c r="H254" s="7"/>
      <x:c r="I254" s="7"/>
      <x:c r="J254" s="9"/>
      <x:c r="K254" s="10"/>
      <x:c r="L254" s="7"/>
      <x:c r="M254" s="8"/>
      <x:c r="N254" s="17"/>
      <x:c r="O254" s="17"/>
    </x:row>
    <x:row r="255" ht="15" hidden="0" customHeight="1">
      <x:c r="A255" s="7"/>
      <x:c r="B255" s="7"/>
      <x:c r="C255" s="7"/>
      <x:c r="D255" s="8"/>
      <x:c r="E255" s="7"/>
      <x:c r="F255" s="7"/>
      <x:c r="G255" s="7"/>
      <x:c r="H255" s="7"/>
      <x:c r="I255" s="7"/>
      <x:c r="J255" s="9"/>
      <x:c r="K255" s="10"/>
      <x:c r="L255" s="7"/>
      <x:c r="M255" s="8"/>
      <x:c r="N255" s="17"/>
      <x:c r="O255" s="17"/>
    </x:row>
    <x:row r="256" ht="15" hidden="0" customHeight="1">
      <x:c r="A256" s="7"/>
      <x:c r="B256" s="7"/>
      <x:c r="C256" s="7"/>
      <x:c r="D256" s="8"/>
      <x:c r="E256" s="7"/>
      <x:c r="F256" s="7"/>
      <x:c r="G256" s="7"/>
      <x:c r="H256" s="7"/>
      <x:c r="I256" s="7"/>
      <x:c r="J256" s="9"/>
      <x:c r="K256" s="10"/>
      <x:c r="L256" s="7"/>
      <x:c r="M256" s="8"/>
      <x:c r="N256" s="17"/>
      <x:c r="O256" s="17"/>
    </x:row>
    <x:row r="257" ht="15" hidden="0" customHeight="1">
      <x:c r="A257" s="7"/>
      <x:c r="B257" s="7"/>
      <x:c r="C257" s="7"/>
      <x:c r="D257" s="8"/>
      <x:c r="E257" s="7"/>
      <x:c r="F257" s="7"/>
      <x:c r="G257" s="7"/>
      <x:c r="H257" s="7"/>
      <x:c r="I257" s="7"/>
      <x:c r="J257" s="9"/>
      <x:c r="K257" s="10"/>
      <x:c r="L257" s="7"/>
      <x:c r="M257" s="8"/>
      <x:c r="N257" s="17"/>
      <x:c r="O257" s="17"/>
    </x:row>
    <x:row r="258" ht="15" hidden="0" customHeight="1">
      <x:c r="A258" s="7"/>
      <x:c r="B258" s="7"/>
      <x:c r="C258" s="7"/>
      <x:c r="D258" s="8"/>
      <x:c r="E258" s="7"/>
      <x:c r="F258" s="7"/>
      <x:c r="G258" s="7"/>
      <x:c r="H258" s="7"/>
      <x:c r="I258" s="7"/>
      <x:c r="J258" s="9"/>
      <x:c r="K258" s="10"/>
      <x:c r="L258" s="7"/>
      <x:c r="M258" s="8"/>
      <x:c r="N258" s="17"/>
      <x:c r="O258" s="17"/>
    </x:row>
    <x:row r="259" ht="15" hidden="0" customHeight="1">
      <x:c r="A259" s="7"/>
      <x:c r="B259" s="7"/>
      <x:c r="C259" s="7"/>
      <x:c r="D259" s="8"/>
      <x:c r="E259" s="7"/>
      <x:c r="F259" s="7"/>
      <x:c r="G259" s="7"/>
      <x:c r="H259" s="7"/>
      <x:c r="I259" s="7"/>
      <x:c r="J259" s="9"/>
      <x:c r="K259" s="10"/>
      <x:c r="L259" s="7"/>
      <x:c r="M259" s="8"/>
      <x:c r="N259" s="17"/>
      <x:c r="O259" s="17"/>
    </x:row>
    <x:row r="260" ht="15" hidden="0" customHeight="1">
      <x:c r="A260" s="7"/>
      <x:c r="B260" s="7"/>
      <x:c r="C260" s="7"/>
      <x:c r="D260" s="8"/>
      <x:c r="E260" s="7"/>
      <x:c r="F260" s="7"/>
      <x:c r="G260" s="7"/>
      <x:c r="H260" s="7"/>
      <x:c r="I260" s="7"/>
      <x:c r="J260" s="9"/>
      <x:c r="K260" s="10"/>
      <x:c r="L260" s="7"/>
      <x:c r="M260" s="8"/>
      <x:c r="N260" s="17"/>
      <x:c r="O260" s="17"/>
    </x:row>
    <x:row r="261" ht="15" hidden="0" customHeight="1">
      <x:c r="A261" s="7"/>
      <x:c r="B261" s="7"/>
      <x:c r="C261" s="7"/>
      <x:c r="D261" s="8"/>
      <x:c r="E261" s="7"/>
      <x:c r="F261" s="7"/>
      <x:c r="G261" s="7"/>
      <x:c r="H261" s="7"/>
      <x:c r="I261" s="7"/>
      <x:c r="J261" s="9"/>
      <x:c r="K261" s="10"/>
      <x:c r="L261" s="7"/>
      <x:c r="M261" s="8"/>
      <x:c r="N261" s="17"/>
      <x:c r="O261" s="17"/>
    </x:row>
    <x:row r="262" ht="15" hidden="0" customHeight="1">
      <x:c r="A262" s="7"/>
      <x:c r="B262" s="7"/>
      <x:c r="C262" s="7"/>
      <x:c r="D262" s="8"/>
      <x:c r="E262" s="7"/>
      <x:c r="F262" s="7"/>
      <x:c r="G262" s="7"/>
      <x:c r="H262" s="7"/>
      <x:c r="I262" s="7"/>
      <x:c r="J262" s="9"/>
      <x:c r="K262" s="10"/>
      <x:c r="L262" s="7"/>
      <x:c r="M262" s="8"/>
      <x:c r="N262" s="17"/>
      <x:c r="O262" s="17"/>
    </x:row>
    <x:row r="263" ht="15" hidden="0" customHeight="1">
      <x:c r="A263" s="7"/>
      <x:c r="B263" s="7"/>
      <x:c r="C263" s="7"/>
      <x:c r="D263" s="8"/>
      <x:c r="E263" s="7"/>
      <x:c r="F263" s="7"/>
      <x:c r="G263" s="7"/>
      <x:c r="H263" s="7"/>
      <x:c r="I263" s="7"/>
      <x:c r="J263" s="9"/>
      <x:c r="K263" s="10"/>
      <x:c r="L263" s="7"/>
      <x:c r="M263" s="8"/>
      <x:c r="N263" s="17"/>
      <x:c r="O263" s="17"/>
    </x:row>
    <x:row r="264" ht="15" hidden="0" customHeight="1">
      <x:c r="A264" s="7"/>
      <x:c r="B264" s="7"/>
      <x:c r="C264" s="7"/>
      <x:c r="D264" s="8"/>
      <x:c r="E264" s="7"/>
      <x:c r="F264" s="7"/>
      <x:c r="G264" s="7"/>
      <x:c r="H264" s="7"/>
      <x:c r="I264" s="7"/>
      <x:c r="J264" s="9"/>
      <x:c r="K264" s="10"/>
      <x:c r="L264" s="7"/>
      <x:c r="M264" s="8"/>
      <x:c r="N264" s="17"/>
      <x:c r="O264" s="17"/>
    </x:row>
    <x:row r="265" ht="15" hidden="0" customHeight="1">
      <x:c r="A265" s="7"/>
      <x:c r="B265" s="7"/>
      <x:c r="C265" s="7"/>
      <x:c r="D265" s="8"/>
      <x:c r="E265" s="7"/>
      <x:c r="F265" s="7"/>
      <x:c r="G265" s="7"/>
      <x:c r="H265" s="7"/>
      <x:c r="I265" s="7"/>
      <x:c r="J265" s="9"/>
      <x:c r="K265" s="10"/>
      <x:c r="L265" s="7"/>
      <x:c r="M265" s="8"/>
      <x:c r="N265" s="17"/>
      <x:c r="O265" s="17"/>
    </x:row>
    <x:row r="266" ht="15" hidden="0" customHeight="1">
      <x:c r="A266" s="7"/>
      <x:c r="B266" s="7"/>
      <x:c r="C266" s="7"/>
      <x:c r="D266" s="8"/>
      <x:c r="E266" s="7"/>
      <x:c r="F266" s="7"/>
      <x:c r="G266" s="7"/>
      <x:c r="H266" s="7"/>
      <x:c r="I266" s="7"/>
      <x:c r="J266" s="9"/>
      <x:c r="K266" s="10"/>
      <x:c r="L266" s="7"/>
      <x:c r="M266" s="8"/>
      <x:c r="N266" s="17"/>
      <x:c r="O266" s="17"/>
    </x:row>
    <x:row r="267" ht="15" hidden="0" customHeight="1">
      <x:c r="A267" s="7"/>
      <x:c r="B267" s="7"/>
      <x:c r="C267" s="7"/>
      <x:c r="D267" s="8"/>
      <x:c r="E267" s="7"/>
      <x:c r="F267" s="7"/>
      <x:c r="G267" s="7"/>
      <x:c r="H267" s="7"/>
      <x:c r="I267" s="7"/>
      <x:c r="J267" s="9"/>
      <x:c r="K267" s="10"/>
      <x:c r="L267" s="7"/>
      <x:c r="M267" s="8"/>
      <x:c r="N267" s="17"/>
      <x:c r="O267" s="17"/>
    </x:row>
    <x:row r="268" ht="15" hidden="0" customHeight="1">
      <x:c r="A268" s="7"/>
      <x:c r="B268" s="7"/>
      <x:c r="C268" s="7"/>
      <x:c r="D268" s="8"/>
      <x:c r="E268" s="7"/>
      <x:c r="F268" s="7"/>
      <x:c r="G268" s="7"/>
      <x:c r="H268" s="7"/>
      <x:c r="I268" s="7"/>
      <x:c r="J268" s="9"/>
      <x:c r="K268" s="10"/>
      <x:c r="L268" s="7"/>
      <x:c r="M268" s="8"/>
      <x:c r="N268" s="17"/>
      <x:c r="O268" s="17"/>
    </x:row>
    <x:row r="269" ht="15" hidden="0" customHeight="1">
      <x:c r="A269" s="7"/>
      <x:c r="B269" s="7"/>
      <x:c r="C269" s="7"/>
      <x:c r="D269" s="8"/>
      <x:c r="E269" s="7"/>
      <x:c r="F269" s="7"/>
      <x:c r="G269" s="7"/>
      <x:c r="H269" s="7"/>
      <x:c r="I269" s="7"/>
      <x:c r="J269" s="9"/>
      <x:c r="K269" s="10"/>
      <x:c r="L269" s="7"/>
      <x:c r="M269" s="8"/>
      <x:c r="N269" s="17"/>
      <x:c r="O269" s="17"/>
    </x:row>
    <x:row r="270" ht="15" hidden="0" customHeight="1">
      <x:c r="A270" s="7"/>
      <x:c r="B270" s="7"/>
      <x:c r="C270" s="7"/>
      <x:c r="D270" s="8"/>
      <x:c r="E270" s="7"/>
      <x:c r="F270" s="7"/>
      <x:c r="G270" s="7"/>
      <x:c r="H270" s="7"/>
      <x:c r="I270" s="7"/>
      <x:c r="J270" s="9"/>
      <x:c r="K270" s="10"/>
      <x:c r="L270" s="7"/>
      <x:c r="M270" s="8"/>
      <x:c r="N270" s="17"/>
      <x:c r="O270" s="17"/>
    </x:row>
    <x:row r="271" ht="15" hidden="0" customHeight="1">
      <x:c r="A271" s="7"/>
      <x:c r="B271" s="7"/>
      <x:c r="C271" s="7"/>
      <x:c r="D271" s="8"/>
      <x:c r="E271" s="7"/>
      <x:c r="F271" s="7"/>
      <x:c r="G271" s="7"/>
      <x:c r="H271" s="7"/>
      <x:c r="I271" s="7"/>
      <x:c r="J271" s="9"/>
      <x:c r="K271" s="10"/>
      <x:c r="L271" s="7"/>
      <x:c r="M271" s="8"/>
      <x:c r="N271" s="17"/>
      <x:c r="O271" s="17"/>
    </x:row>
    <x:row r="272" ht="15" hidden="0" customHeight="1">
      <x:c r="A272" s="7"/>
      <x:c r="B272" s="7"/>
      <x:c r="C272" s="7"/>
      <x:c r="D272" s="8"/>
      <x:c r="E272" s="7"/>
      <x:c r="F272" s="7"/>
      <x:c r="G272" s="7"/>
      <x:c r="H272" s="7"/>
      <x:c r="I272" s="7"/>
      <x:c r="J272" s="9"/>
      <x:c r="K272" s="10"/>
      <x:c r="L272" s="7"/>
      <x:c r="M272" s="8"/>
      <x:c r="N272" s="17"/>
      <x:c r="O272" s="17"/>
    </x:row>
    <x:row r="273" ht="15" hidden="0" customHeight="1">
      <x:c r="A273" s="7"/>
      <x:c r="B273" s="7"/>
      <x:c r="C273" s="7"/>
      <x:c r="D273" s="8"/>
      <x:c r="E273" s="7"/>
      <x:c r="F273" s="7"/>
      <x:c r="G273" s="7"/>
      <x:c r="H273" s="7"/>
      <x:c r="I273" s="7"/>
      <x:c r="J273" s="9"/>
      <x:c r="K273" s="10"/>
      <x:c r="L273" s="7"/>
      <x:c r="M273" s="8"/>
      <x:c r="N273" s="17"/>
      <x:c r="O273" s="17"/>
    </x:row>
    <x:row r="274" ht="15" hidden="0" customHeight="1">
      <x:c r="A274" s="7"/>
      <x:c r="B274" s="7"/>
      <x:c r="C274" s="7"/>
      <x:c r="D274" s="8"/>
      <x:c r="E274" s="7"/>
      <x:c r="F274" s="7"/>
      <x:c r="G274" s="7"/>
      <x:c r="H274" s="7"/>
      <x:c r="I274" s="7"/>
      <x:c r="J274" s="9"/>
      <x:c r="K274" s="10"/>
      <x:c r="L274" s="7"/>
      <x:c r="M274" s="8"/>
      <x:c r="N274" s="17"/>
      <x:c r="O274" s="17"/>
    </x:row>
    <x:row r="275" ht="15" hidden="0" customHeight="1">
      <x:c r="A275" s="7"/>
      <x:c r="B275" s="7"/>
      <x:c r="C275" s="7"/>
      <x:c r="D275" s="8"/>
      <x:c r="E275" s="7"/>
      <x:c r="F275" s="7"/>
      <x:c r="G275" s="7"/>
      <x:c r="H275" s="7"/>
      <x:c r="I275" s="7"/>
      <x:c r="J275" s="9"/>
      <x:c r="K275" s="10"/>
      <x:c r="L275" s="7"/>
      <x:c r="M275" s="8"/>
      <x:c r="N275" s="17"/>
      <x:c r="O275" s="17"/>
    </x:row>
    <x:row r="276" ht="15" hidden="0" customHeight="1">
      <x:c r="A276" s="7"/>
      <x:c r="B276" s="7"/>
      <x:c r="C276" s="7"/>
      <x:c r="D276" s="8"/>
      <x:c r="E276" s="7"/>
      <x:c r="F276" s="7"/>
      <x:c r="G276" s="7"/>
      <x:c r="H276" s="7"/>
      <x:c r="I276" s="7"/>
      <x:c r="J276" s="9"/>
      <x:c r="K276" s="10"/>
      <x:c r="L276" s="7"/>
      <x:c r="M276" s="8"/>
      <x:c r="N276" s="17"/>
      <x:c r="O276" s="17"/>
    </x:row>
    <x:row r="277" ht="15" hidden="0" customHeight="1">
      <x:c r="A277" s="7"/>
      <x:c r="B277" s="7"/>
      <x:c r="C277" s="7"/>
      <x:c r="D277" s="8"/>
      <x:c r="E277" s="7"/>
      <x:c r="F277" s="7"/>
      <x:c r="G277" s="7"/>
      <x:c r="H277" s="7"/>
      <x:c r="I277" s="7"/>
      <x:c r="J277" s="9"/>
      <x:c r="K277" s="10"/>
      <x:c r="L277" s="7"/>
      <x:c r="M277" s="8"/>
      <x:c r="N277" s="17"/>
      <x:c r="O277" s="17"/>
    </x:row>
    <x:row r="278" ht="15" hidden="0" customHeight="1">
      <x:c r="A278" s="7"/>
      <x:c r="B278" s="7"/>
      <x:c r="C278" s="7"/>
      <x:c r="D278" s="8"/>
      <x:c r="E278" s="7"/>
      <x:c r="F278" s="7"/>
      <x:c r="G278" s="7"/>
      <x:c r="H278" s="7"/>
      <x:c r="I278" s="7"/>
      <x:c r="J278" s="9"/>
      <x:c r="K278" s="10"/>
      <x:c r="L278" s="7"/>
      <x:c r="M278" s="8"/>
      <x:c r="N278" s="17"/>
      <x:c r="O278" s="17"/>
    </x:row>
    <x:row r="279" ht="15" hidden="0" customHeight="1">
      <x:c r="A279" s="7"/>
      <x:c r="B279" s="7"/>
      <x:c r="C279" s="7"/>
      <x:c r="D279" s="8"/>
      <x:c r="E279" s="7"/>
      <x:c r="F279" s="7"/>
      <x:c r="G279" s="7"/>
      <x:c r="H279" s="7"/>
      <x:c r="I279" s="7"/>
      <x:c r="J279" s="9"/>
      <x:c r="K279" s="10"/>
      <x:c r="L279" s="7"/>
      <x:c r="M279" s="8"/>
      <x:c r="N279" s="17"/>
      <x:c r="O279" s="17"/>
    </x:row>
    <x:row r="280" ht="15" hidden="0" customHeight="1">
      <x:c r="A280" s="7"/>
      <x:c r="B280" s="7"/>
      <x:c r="C280" s="7"/>
      <x:c r="D280" s="8"/>
      <x:c r="E280" s="7"/>
      <x:c r="F280" s="7"/>
      <x:c r="G280" s="7"/>
      <x:c r="H280" s="7"/>
      <x:c r="I280" s="7"/>
      <x:c r="J280" s="9"/>
      <x:c r="K280" s="10"/>
      <x:c r="L280" s="7"/>
      <x:c r="M280" s="8"/>
      <x:c r="N280" s="17"/>
      <x:c r="O280" s="17"/>
    </x:row>
    <x:row r="281" ht="15" hidden="0" customHeight="1">
      <x:c r="A281" s="7"/>
      <x:c r="B281" s="7"/>
      <x:c r="C281" s="7"/>
      <x:c r="D281" s="8"/>
      <x:c r="E281" s="7"/>
      <x:c r="F281" s="7"/>
      <x:c r="G281" s="7"/>
      <x:c r="H281" s="7"/>
      <x:c r="I281" s="7"/>
      <x:c r="J281" s="9"/>
      <x:c r="K281" s="10"/>
      <x:c r="L281" s="7"/>
      <x:c r="M281" s="8"/>
      <x:c r="N281" s="17"/>
      <x:c r="O281" s="17"/>
    </x:row>
    <x:row r="282" ht="15" hidden="0" customHeight="1">
      <x:c r="A282" s="7"/>
      <x:c r="B282" s="7"/>
      <x:c r="C282" s="7"/>
      <x:c r="D282" s="8"/>
      <x:c r="E282" s="7"/>
      <x:c r="F282" s="7"/>
      <x:c r="G282" s="7"/>
      <x:c r="H282" s="7"/>
      <x:c r="I282" s="7"/>
      <x:c r="J282" s="9"/>
      <x:c r="K282" s="10"/>
      <x:c r="L282" s="7"/>
      <x:c r="M282" s="8"/>
      <x:c r="N282" s="17"/>
      <x:c r="O282" s="17"/>
    </x:row>
    <x:row r="283" ht="15" hidden="0" customHeight="1">
      <x:c r="A283" s="7"/>
      <x:c r="B283" s="7"/>
      <x:c r="C283" s="7"/>
      <x:c r="D283" s="8"/>
      <x:c r="E283" s="7"/>
      <x:c r="F283" s="7"/>
      <x:c r="G283" s="7"/>
      <x:c r="H283" s="7"/>
      <x:c r="I283" s="7"/>
      <x:c r="J283" s="9"/>
      <x:c r="K283" s="10"/>
      <x:c r="L283" s="7"/>
      <x:c r="M283" s="8"/>
      <x:c r="N283" s="17"/>
      <x:c r="O283" s="17"/>
    </x:row>
    <x:row r="284" ht="15" hidden="0" customHeight="1">
      <x:c r="A284" s="7"/>
      <x:c r="B284" s="7"/>
      <x:c r="C284" s="7"/>
      <x:c r="D284" s="8"/>
      <x:c r="E284" s="7"/>
      <x:c r="F284" s="7"/>
      <x:c r="G284" s="7"/>
      <x:c r="H284" s="7"/>
      <x:c r="I284" s="7"/>
      <x:c r="J284" s="9"/>
      <x:c r="K284" s="10"/>
      <x:c r="L284" s="7"/>
      <x:c r="M284" s="8"/>
      <x:c r="N284" s="17"/>
      <x:c r="O284" s="17"/>
    </x:row>
    <x:row r="285" ht="15" hidden="0" customHeight="1">
      <x:c r="A285" s="7"/>
      <x:c r="B285" s="7"/>
      <x:c r="C285" s="7"/>
      <x:c r="D285" s="8"/>
      <x:c r="E285" s="7"/>
      <x:c r="F285" s="7"/>
      <x:c r="G285" s="7"/>
      <x:c r="H285" s="7"/>
      <x:c r="I285" s="7"/>
      <x:c r="J285" s="9"/>
      <x:c r="K285" s="10"/>
      <x:c r="L285" s="7"/>
      <x:c r="M285" s="8"/>
      <x:c r="N285" s="17"/>
      <x:c r="O285" s="17"/>
    </x:row>
    <x:row r="286" ht="15" hidden="0" customHeight="1">
      <x:c r="A286" s="7"/>
      <x:c r="B286" s="7"/>
      <x:c r="C286" s="7"/>
      <x:c r="D286" s="8"/>
      <x:c r="E286" s="7"/>
      <x:c r="F286" s="7"/>
      <x:c r="G286" s="7"/>
      <x:c r="H286" s="7"/>
      <x:c r="I286" s="7"/>
      <x:c r="J286" s="9"/>
      <x:c r="K286" s="10"/>
      <x:c r="L286" s="7"/>
      <x:c r="M286" s="8"/>
      <x:c r="N286" s="17"/>
      <x:c r="O286" s="17"/>
    </x:row>
    <x:row r="287" ht="15" hidden="0" customHeight="1">
      <x:c r="A287" s="7"/>
      <x:c r="B287" s="7"/>
      <x:c r="C287" s="7"/>
      <x:c r="D287" s="8"/>
      <x:c r="E287" s="7"/>
      <x:c r="F287" s="7"/>
      <x:c r="G287" s="7"/>
      <x:c r="H287" s="7"/>
      <x:c r="I287" s="7"/>
      <x:c r="J287" s="9"/>
      <x:c r="K287" s="10"/>
      <x:c r="L287" s="7"/>
      <x:c r="M287" s="8"/>
      <x:c r="N287" s="17"/>
      <x:c r="O287" s="17"/>
    </x:row>
    <x:row r="288" ht="15" hidden="0" customHeight="1">
      <x:c r="A288" s="7"/>
      <x:c r="B288" s="7"/>
      <x:c r="C288" s="7"/>
      <x:c r="D288" s="8"/>
      <x:c r="E288" s="7"/>
      <x:c r="F288" s="7"/>
      <x:c r="G288" s="7"/>
      <x:c r="H288" s="7"/>
      <x:c r="I288" s="7"/>
      <x:c r="J288" s="9"/>
      <x:c r="K288" s="10"/>
      <x:c r="L288" s="7"/>
      <x:c r="M288" s="8"/>
      <x:c r="N288" s="17"/>
      <x:c r="O288" s="17"/>
    </x:row>
    <x:row r="289" ht="15" hidden="0" customHeight="1">
      <x:c r="A289" s="7"/>
      <x:c r="B289" s="7"/>
      <x:c r="C289" s="7"/>
      <x:c r="D289" s="8"/>
      <x:c r="E289" s="7"/>
      <x:c r="F289" s="7"/>
      <x:c r="G289" s="7"/>
      <x:c r="H289" s="7"/>
      <x:c r="I289" s="7"/>
      <x:c r="J289" s="9"/>
      <x:c r="K289" s="10"/>
      <x:c r="L289" s="7"/>
      <x:c r="M289" s="8"/>
      <x:c r="N289" s="17"/>
      <x:c r="O289" s="17"/>
    </x:row>
    <x:row r="290" ht="15" hidden="0" customHeight="1">
      <x:c r="A290" s="7"/>
      <x:c r="B290" s="7"/>
      <x:c r="C290" s="7"/>
      <x:c r="D290" s="8"/>
      <x:c r="E290" s="7"/>
      <x:c r="F290" s="7"/>
      <x:c r="G290" s="7"/>
      <x:c r="H290" s="7"/>
      <x:c r="I290" s="7"/>
      <x:c r="J290" s="9"/>
      <x:c r="K290" s="10"/>
      <x:c r="L290" s="7"/>
      <x:c r="M290" s="8"/>
      <x:c r="N290" s="17"/>
      <x:c r="O290" s="17"/>
    </x:row>
    <x:row r="291" ht="15" hidden="0" customHeight="1">
      <x:c r="A291" s="7"/>
      <x:c r="B291" s="7"/>
      <x:c r="C291" s="7"/>
      <x:c r="D291" s="8"/>
      <x:c r="E291" s="7"/>
      <x:c r="F291" s="7"/>
      <x:c r="G291" s="7"/>
      <x:c r="H291" s="7"/>
      <x:c r="I291" s="7"/>
      <x:c r="J291" s="9"/>
      <x:c r="K291" s="10"/>
      <x:c r="L291" s="7"/>
      <x:c r="M291" s="8"/>
      <x:c r="N291" s="17"/>
      <x:c r="O291" s="17"/>
    </x:row>
    <x:row r="292" ht="15" hidden="0" customHeight="1">
      <x:c r="A292" s="7"/>
      <x:c r="B292" s="7"/>
      <x:c r="C292" s="7"/>
      <x:c r="D292" s="8"/>
      <x:c r="E292" s="7"/>
      <x:c r="F292" s="7"/>
      <x:c r="G292" s="7"/>
      <x:c r="H292" s="7"/>
      <x:c r="I292" s="7"/>
      <x:c r="J292" s="9"/>
      <x:c r="K292" s="10"/>
      <x:c r="L292" s="7"/>
      <x:c r="M292" s="8"/>
      <x:c r="N292" s="17"/>
      <x:c r="O292" s="17"/>
    </x:row>
    <x:row r="293" ht="15" hidden="0" customHeight="1">
      <x:c r="A293" s="7"/>
      <x:c r="B293" s="7"/>
      <x:c r="C293" s="7"/>
      <x:c r="D293" s="8"/>
      <x:c r="E293" s="7"/>
      <x:c r="F293" s="7"/>
      <x:c r="G293" s="7"/>
      <x:c r="H293" s="7"/>
      <x:c r="I293" s="7"/>
      <x:c r="J293" s="9"/>
      <x:c r="K293" s="10"/>
      <x:c r="L293" s="7"/>
      <x:c r="M293" s="8"/>
      <x:c r="N293" s="17"/>
      <x:c r="O293" s="17"/>
    </x:row>
    <x:row r="294" ht="15" hidden="0" customHeight="1">
      <x:c r="A294" s="7"/>
      <x:c r="B294" s="7"/>
      <x:c r="C294" s="7"/>
      <x:c r="D294" s="8"/>
      <x:c r="E294" s="7"/>
      <x:c r="F294" s="7"/>
      <x:c r="G294" s="7"/>
      <x:c r="H294" s="7"/>
      <x:c r="I294" s="7"/>
      <x:c r="J294" s="9"/>
      <x:c r="K294" s="10"/>
      <x:c r="L294" s="7"/>
      <x:c r="M294" s="8"/>
      <x:c r="N294" s="17"/>
      <x:c r="O294" s="17"/>
    </x:row>
    <x:row r="295" ht="15" hidden="0" customHeight="1">
      <x:c r="A295" s="7"/>
      <x:c r="B295" s="7"/>
      <x:c r="C295" s="7"/>
      <x:c r="D295" s="8"/>
      <x:c r="E295" s="7"/>
      <x:c r="F295" s="7"/>
      <x:c r="G295" s="7"/>
      <x:c r="H295" s="7"/>
      <x:c r="I295" s="7"/>
      <x:c r="J295" s="9"/>
      <x:c r="K295" s="10"/>
      <x:c r="L295" s="7"/>
      <x:c r="M295" s="8"/>
      <x:c r="N295" s="17"/>
      <x:c r="O295" s="17"/>
    </x:row>
    <x:row r="296" ht="15" hidden="0" customHeight="1">
      <x:c r="A296" s="7"/>
      <x:c r="B296" s="7"/>
      <x:c r="C296" s="7"/>
      <x:c r="D296" s="8"/>
      <x:c r="E296" s="7"/>
      <x:c r="F296" s="7"/>
      <x:c r="G296" s="7"/>
      <x:c r="H296" s="7"/>
      <x:c r="I296" s="7"/>
      <x:c r="J296" s="9"/>
      <x:c r="K296" s="10"/>
      <x:c r="L296" s="7"/>
      <x:c r="M296" s="8"/>
      <x:c r="N296" s="17"/>
      <x:c r="O296" s="17"/>
    </x:row>
    <x:row r="297" ht="15" hidden="0" customHeight="1">
      <x:c r="A297" s="7"/>
      <x:c r="B297" s="7"/>
      <x:c r="C297" s="7"/>
      <x:c r="D297" s="8"/>
      <x:c r="E297" s="7"/>
      <x:c r="F297" s="7"/>
      <x:c r="G297" s="7"/>
      <x:c r="H297" s="7"/>
      <x:c r="I297" s="7"/>
      <x:c r="J297" s="9"/>
      <x:c r="K297" s="10"/>
      <x:c r="L297" s="7"/>
      <x:c r="M297" s="8"/>
      <x:c r="N297" s="17"/>
      <x:c r="O297" s="17"/>
    </x:row>
    <x:row r="298" ht="15" hidden="0" customHeight="1">
      <x:c r="A298" s="7"/>
      <x:c r="B298" s="7"/>
      <x:c r="C298" s="7"/>
      <x:c r="D298" s="8"/>
      <x:c r="E298" s="7"/>
      <x:c r="F298" s="7"/>
      <x:c r="G298" s="7"/>
      <x:c r="H298" s="7"/>
      <x:c r="I298" s="7"/>
      <x:c r="J298" s="9"/>
      <x:c r="K298" s="10"/>
      <x:c r="L298" s="7"/>
      <x:c r="M298" s="8"/>
      <x:c r="N298" s="17"/>
      <x:c r="O298" s="17"/>
    </x:row>
    <x:row r="299" ht="15" hidden="0" customHeight="1">
      <x:c r="A299" s="7"/>
      <x:c r="B299" s="7"/>
      <x:c r="C299" s="7"/>
      <x:c r="D299" s="8"/>
      <x:c r="E299" s="7"/>
      <x:c r="F299" s="7"/>
      <x:c r="G299" s="7"/>
      <x:c r="H299" s="7"/>
      <x:c r="I299" s="7"/>
      <x:c r="J299" s="9"/>
      <x:c r="K299" s="10"/>
      <x:c r="L299" s="7"/>
      <x:c r="M299" s="8"/>
      <x:c r="N299" s="17"/>
      <x:c r="O299" s="17"/>
    </x:row>
    <x:row r="300" ht="15" hidden="0" customHeight="1">
      <x:c r="A300" s="7"/>
      <x:c r="B300" s="7"/>
      <x:c r="C300" s="7"/>
      <x:c r="D300" s="8"/>
      <x:c r="E300" s="7"/>
      <x:c r="F300" s="7"/>
      <x:c r="G300" s="7"/>
      <x:c r="H300" s="7"/>
      <x:c r="I300" s="7"/>
      <x:c r="J300" s="9"/>
      <x:c r="K300" s="10"/>
      <x:c r="L300" s="7"/>
      <x:c r="M300" s="8"/>
      <x:c r="N300" s="17"/>
      <x:c r="O300" s="17"/>
    </x:row>
    <x:row r="301" ht="15" hidden="0" customHeight="1">
      <x:c r="A301" s="7"/>
      <x:c r="B301" s="7"/>
      <x:c r="C301" s="7"/>
      <x:c r="D301" s="8"/>
      <x:c r="E301" s="7"/>
      <x:c r="F301" s="7"/>
      <x:c r="G301" s="7"/>
      <x:c r="H301" s="7"/>
      <x:c r="I301" s="7"/>
      <x:c r="J301" s="9"/>
      <x:c r="K301" s="10"/>
      <x:c r="L301" s="7"/>
      <x:c r="M301" s="8"/>
      <x:c r="N301" s="17"/>
      <x:c r="O301" s="17"/>
    </x:row>
    <x:row r="302" ht="15" hidden="0" customHeight="1">
      <x:c r="A302" s="7"/>
      <x:c r="B302" s="7"/>
      <x:c r="C302" s="7"/>
      <x:c r="D302" s="8"/>
      <x:c r="E302" s="7"/>
      <x:c r="F302" s="7"/>
      <x:c r="G302" s="7"/>
      <x:c r="H302" s="7"/>
      <x:c r="I302" s="7"/>
      <x:c r="J302" s="9"/>
      <x:c r="K302" s="10"/>
      <x:c r="L302" s="7"/>
      <x:c r="M302" s="8"/>
      <x:c r="N302" s="17"/>
      <x:c r="O302" s="17"/>
    </x:row>
    <x:row r="303" ht="15" hidden="0" customHeight="1">
      <x:c r="A303" s="7"/>
      <x:c r="B303" s="7"/>
      <x:c r="C303" s="7"/>
      <x:c r="D303" s="8"/>
      <x:c r="E303" s="7"/>
      <x:c r="F303" s="7"/>
      <x:c r="G303" s="7"/>
      <x:c r="H303" s="7"/>
      <x:c r="I303" s="7"/>
      <x:c r="J303" s="9"/>
      <x:c r="K303" s="10"/>
      <x:c r="L303" s="7"/>
      <x:c r="M303" s="8"/>
      <x:c r="N303" s="17"/>
      <x:c r="O303" s="17"/>
    </x:row>
    <x:row r="304" ht="15" hidden="0" customHeight="1">
      <x:c r="A304" s="7"/>
      <x:c r="B304" s="7"/>
      <x:c r="C304" s="7"/>
      <x:c r="D304" s="8"/>
      <x:c r="E304" s="7"/>
      <x:c r="F304" s="7"/>
      <x:c r="G304" s="7"/>
      <x:c r="H304" s="7"/>
      <x:c r="I304" s="7"/>
      <x:c r="J304" s="9"/>
      <x:c r="K304" s="10"/>
      <x:c r="L304" s="7"/>
      <x:c r="M304" s="8"/>
      <x:c r="N304" s="17"/>
      <x:c r="O304" s="17"/>
    </x:row>
    <x:row r="305" ht="15" hidden="0" customHeight="1">
      <x:c r="A305" s="7"/>
      <x:c r="B305" s="7"/>
      <x:c r="C305" s="7"/>
      <x:c r="D305" s="8"/>
      <x:c r="E305" s="7"/>
      <x:c r="F305" s="7"/>
      <x:c r="G305" s="7"/>
      <x:c r="H305" s="7"/>
      <x:c r="I305" s="7"/>
      <x:c r="J305" s="9"/>
      <x:c r="K305" s="10"/>
      <x:c r="L305" s="7"/>
      <x:c r="M305" s="8"/>
      <x:c r="N305" s="17"/>
      <x:c r="O305" s="17"/>
    </x:row>
    <x:row r="306" ht="15" hidden="0" customHeight="1">
      <x:c r="A306" s="7"/>
      <x:c r="B306" s="7"/>
      <x:c r="C306" s="7"/>
      <x:c r="D306" s="8"/>
      <x:c r="E306" s="7"/>
      <x:c r="F306" s="7"/>
      <x:c r="G306" s="7"/>
      <x:c r="H306" s="7"/>
      <x:c r="I306" s="7"/>
      <x:c r="J306" s="9"/>
      <x:c r="K306" s="10"/>
      <x:c r="L306" s="7"/>
      <x:c r="M306" s="8"/>
      <x:c r="N306" s="17"/>
      <x:c r="O306" s="17"/>
    </x:row>
    <x:row r="307" ht="15" hidden="0" customHeight="1">
      <x:c r="A307" s="7"/>
      <x:c r="B307" s="7"/>
      <x:c r="C307" s="7"/>
      <x:c r="D307" s="8"/>
      <x:c r="E307" s="7"/>
      <x:c r="F307" s="7"/>
      <x:c r="G307" s="7"/>
      <x:c r="H307" s="7"/>
      <x:c r="I307" s="7"/>
      <x:c r="J307" s="9"/>
      <x:c r="K307" s="10"/>
      <x:c r="L307" s="7"/>
      <x:c r="M307" s="8"/>
      <x:c r="N307" s="17"/>
      <x:c r="O307" s="17"/>
    </x:row>
    <x:row r="308" ht="15" hidden="0" customHeight="1">
      <x:c r="A308" s="7"/>
      <x:c r="B308" s="7"/>
      <x:c r="C308" s="7"/>
      <x:c r="D308" s="8"/>
      <x:c r="E308" s="7"/>
      <x:c r="F308" s="7"/>
      <x:c r="G308" s="7"/>
      <x:c r="H308" s="7"/>
      <x:c r="I308" s="7"/>
      <x:c r="J308" s="9"/>
      <x:c r="K308" s="10"/>
      <x:c r="L308" s="7"/>
      <x:c r="M308" s="8"/>
      <x:c r="N308" s="17"/>
      <x:c r="O308" s="17"/>
    </x:row>
    <x:row r="309" ht="15" hidden="0" customHeight="1">
      <x:c r="A309" s="7"/>
      <x:c r="B309" s="7"/>
      <x:c r="C309" s="7"/>
      <x:c r="D309" s="8"/>
      <x:c r="E309" s="7"/>
      <x:c r="F309" s="7"/>
      <x:c r="G309" s="7"/>
      <x:c r="H309" s="7"/>
      <x:c r="I309" s="7"/>
      <x:c r="J309" s="9"/>
      <x:c r="K309" s="10"/>
      <x:c r="L309" s="7"/>
      <x:c r="M309" s="8"/>
      <x:c r="N309" s="17"/>
      <x:c r="O309" s="17"/>
    </x:row>
    <x:row r="310" ht="15" hidden="0" customHeight="1">
      <x:c r="A310" s="7"/>
      <x:c r="B310" s="7"/>
      <x:c r="C310" s="7"/>
      <x:c r="D310" s="8"/>
      <x:c r="E310" s="7"/>
      <x:c r="F310" s="7"/>
      <x:c r="G310" s="7"/>
      <x:c r="H310" s="7"/>
      <x:c r="I310" s="7"/>
      <x:c r="J310" s="9"/>
      <x:c r="K310" s="10"/>
      <x:c r="L310" s="7"/>
      <x:c r="M310" s="8"/>
      <x:c r="N310" s="17"/>
      <x:c r="O310" s="17"/>
    </x:row>
    <x:row r="311" ht="15" hidden="0" customHeight="1">
      <x:c r="A311" s="7"/>
      <x:c r="B311" s="7"/>
      <x:c r="C311" s="7"/>
      <x:c r="D311" s="8"/>
      <x:c r="E311" s="7"/>
      <x:c r="F311" s="7"/>
      <x:c r="G311" s="7"/>
      <x:c r="H311" s="7"/>
      <x:c r="I311" s="7"/>
      <x:c r="J311" s="9"/>
      <x:c r="K311" s="10"/>
      <x:c r="L311" s="7"/>
      <x:c r="M311" s="8"/>
      <x:c r="N311" s="17"/>
      <x:c r="O311" s="17"/>
    </x:row>
    <x:row r="312" ht="15" hidden="0" customHeight="1">
      <x:c r="A312" s="7"/>
      <x:c r="B312" s="7"/>
      <x:c r="C312" s="7"/>
      <x:c r="D312" s="8"/>
      <x:c r="E312" s="7"/>
      <x:c r="F312" s="7"/>
      <x:c r="G312" s="7"/>
      <x:c r="H312" s="7"/>
      <x:c r="I312" s="7"/>
      <x:c r="J312" s="9"/>
      <x:c r="K312" s="10"/>
      <x:c r="L312" s="7"/>
      <x:c r="M312" s="8"/>
      <x:c r="N312" s="17"/>
      <x:c r="O312" s="17"/>
    </x:row>
    <x:row r="313" ht="15" hidden="0" customHeight="1">
      <x:c r="A313" s="7"/>
      <x:c r="B313" s="7"/>
      <x:c r="C313" s="7"/>
      <x:c r="D313" s="8"/>
      <x:c r="E313" s="7"/>
      <x:c r="F313" s="7"/>
      <x:c r="G313" s="7"/>
      <x:c r="H313" s="7"/>
      <x:c r="I313" s="7"/>
      <x:c r="J313" s="9"/>
      <x:c r="K313" s="10"/>
      <x:c r="L313" s="7"/>
      <x:c r="M313" s="8"/>
      <x:c r="N313" s="17"/>
      <x:c r="O313" s="17"/>
    </x:row>
    <x:row r="314" ht="15" hidden="0" customHeight="1">
      <x:c r="A314" s="7"/>
      <x:c r="B314" s="7"/>
      <x:c r="C314" s="7"/>
      <x:c r="D314" s="8"/>
      <x:c r="E314" s="7"/>
      <x:c r="F314" s="7"/>
      <x:c r="G314" s="7"/>
      <x:c r="H314" s="7"/>
      <x:c r="I314" s="7"/>
      <x:c r="J314" s="9"/>
      <x:c r="K314" s="10"/>
      <x:c r="L314" s="7"/>
      <x:c r="M314" s="8"/>
      <x:c r="N314" s="17"/>
      <x:c r="O314" s="17"/>
    </x:row>
    <x:row r="315" ht="15" hidden="0" customHeight="1">
      <x:c r="A315" s="7"/>
      <x:c r="B315" s="7"/>
      <x:c r="C315" s="7"/>
      <x:c r="D315" s="8"/>
      <x:c r="E315" s="7"/>
      <x:c r="F315" s="7"/>
      <x:c r="G315" s="7"/>
      <x:c r="H315" s="7"/>
      <x:c r="I315" s="7"/>
      <x:c r="J315" s="9"/>
      <x:c r="K315" s="10"/>
      <x:c r="L315" s="7"/>
      <x:c r="M315" s="8"/>
      <x:c r="N315" s="17"/>
      <x:c r="O315" s="17"/>
    </x:row>
    <x:row r="316" ht="15" hidden="0" customHeight="1">
      <x:c r="A316" s="7"/>
      <x:c r="B316" s="7"/>
      <x:c r="C316" s="7"/>
      <x:c r="D316" s="8"/>
      <x:c r="E316" s="7"/>
      <x:c r="F316" s="7"/>
      <x:c r="G316" s="7"/>
      <x:c r="H316" s="7"/>
      <x:c r="I316" s="7"/>
      <x:c r="J316" s="9"/>
      <x:c r="K316" s="10"/>
      <x:c r="L316" s="7"/>
      <x:c r="M316" s="8"/>
      <x:c r="N316" s="17"/>
      <x:c r="O316" s="17"/>
    </x:row>
    <x:row r="317" ht="15" hidden="0" customHeight="1">
      <x:c r="A317" s="7"/>
      <x:c r="B317" s="7"/>
      <x:c r="C317" s="7"/>
      <x:c r="D317" s="8"/>
      <x:c r="E317" s="7"/>
      <x:c r="F317" s="7"/>
      <x:c r="G317" s="7"/>
      <x:c r="H317" s="7"/>
      <x:c r="I317" s="7"/>
      <x:c r="J317" s="9"/>
      <x:c r="K317" s="10"/>
      <x:c r="L317" s="7"/>
      <x:c r="M317" s="8"/>
      <x:c r="N317" s="17"/>
      <x:c r="O317" s="17"/>
    </x:row>
    <x:row r="318" ht="15" hidden="0" customHeight="1">
      <x:c r="A318" s="7"/>
      <x:c r="B318" s="7"/>
      <x:c r="C318" s="7"/>
      <x:c r="D318" s="8"/>
      <x:c r="E318" s="7"/>
      <x:c r="F318" s="7"/>
      <x:c r="G318" s="7"/>
      <x:c r="H318" s="7"/>
      <x:c r="I318" s="7"/>
      <x:c r="J318" s="9"/>
      <x:c r="K318" s="10"/>
      <x:c r="L318" s="7"/>
      <x:c r="M318" s="8"/>
      <x:c r="N318" s="17"/>
      <x:c r="O318" s="17"/>
    </x:row>
    <x:row r="319" ht="15" hidden="0" customHeight="1">
      <x:c r="A319" s="7"/>
      <x:c r="B319" s="7"/>
      <x:c r="C319" s="7"/>
      <x:c r="D319" s="8"/>
      <x:c r="E319" s="7"/>
      <x:c r="F319" s="7"/>
      <x:c r="G319" s="7"/>
      <x:c r="H319" s="7"/>
      <x:c r="I319" s="7"/>
      <x:c r="J319" s="9"/>
      <x:c r="K319" s="10"/>
      <x:c r="L319" s="7"/>
      <x:c r="M319" s="8"/>
      <x:c r="N319" s="17"/>
      <x:c r="O319" s="17"/>
    </x:row>
    <x:row r="320" ht="15" hidden="0" customHeight="1">
      <x:c r="A320" s="7"/>
      <x:c r="B320" s="7"/>
      <x:c r="C320" s="7"/>
      <x:c r="D320" s="8"/>
      <x:c r="E320" s="7"/>
      <x:c r="F320" s="7"/>
      <x:c r="G320" s="7"/>
      <x:c r="H320" s="7"/>
      <x:c r="I320" s="7"/>
      <x:c r="J320" s="9"/>
      <x:c r="K320" s="10"/>
      <x:c r="L320" s="7"/>
      <x:c r="M320" s="8"/>
      <x:c r="N320" s="17"/>
      <x:c r="O320" s="17"/>
    </x:row>
    <x:row r="321" ht="15" hidden="0" customHeight="1">
      <x:c r="A321" s="7"/>
      <x:c r="B321" s="7"/>
      <x:c r="C321" s="7"/>
      <x:c r="D321" s="8"/>
      <x:c r="E321" s="7"/>
      <x:c r="F321" s="7"/>
      <x:c r="G321" s="7"/>
      <x:c r="H321" s="7"/>
      <x:c r="I321" s="7"/>
      <x:c r="J321" s="9"/>
      <x:c r="K321" s="10"/>
      <x:c r="L321" s="7"/>
      <x:c r="M321" s="8"/>
      <x:c r="N321" s="17"/>
      <x:c r="O321" s="17"/>
    </x:row>
    <x:row r="322" ht="15" hidden="0" customHeight="1">
      <x:c r="A322" s="7"/>
      <x:c r="B322" s="7"/>
      <x:c r="C322" s="7"/>
      <x:c r="D322" s="8"/>
      <x:c r="E322" s="7"/>
      <x:c r="F322" s="7"/>
      <x:c r="G322" s="7"/>
      <x:c r="H322" s="7"/>
      <x:c r="I322" s="7"/>
      <x:c r="J322" s="9"/>
      <x:c r="K322" s="10"/>
      <x:c r="L322" s="7"/>
      <x:c r="M322" s="8"/>
      <x:c r="N322" s="17"/>
      <x:c r="O322" s="17"/>
    </x:row>
    <x:row r="323" ht="15" hidden="0" customHeight="1">
      <x:c r="A323" s="7"/>
      <x:c r="B323" s="7"/>
      <x:c r="C323" s="7"/>
      <x:c r="D323" s="8"/>
      <x:c r="E323" s="7"/>
      <x:c r="F323" s="7"/>
      <x:c r="G323" s="7"/>
      <x:c r="H323" s="7"/>
      <x:c r="I323" s="7"/>
      <x:c r="J323" s="9"/>
      <x:c r="K323" s="10"/>
      <x:c r="L323" s="7"/>
      <x:c r="M323" s="8"/>
      <x:c r="N323" s="17"/>
      <x:c r="O323" s="17"/>
    </x:row>
    <x:row r="324" ht="15" hidden="0" customHeight="1">
      <x:c r="A324" s="7"/>
      <x:c r="B324" s="7"/>
      <x:c r="C324" s="7"/>
      <x:c r="D324" s="8"/>
      <x:c r="E324" s="7"/>
      <x:c r="F324" s="7"/>
      <x:c r="G324" s="7"/>
      <x:c r="H324" s="7"/>
      <x:c r="I324" s="7"/>
      <x:c r="J324" s="9"/>
      <x:c r="K324" s="10"/>
      <x:c r="L324" s="7"/>
      <x:c r="M324" s="8"/>
      <x:c r="N324" s="17"/>
      <x:c r="O324" s="17"/>
    </x:row>
    <x:row r="325" ht="15" hidden="0" customHeight="1">
      <x:c r="A325" s="7"/>
      <x:c r="B325" s="7"/>
      <x:c r="C325" s="7"/>
      <x:c r="D325" s="8"/>
      <x:c r="E325" s="7"/>
      <x:c r="F325" s="7"/>
      <x:c r="G325" s="7"/>
      <x:c r="H325" s="7"/>
      <x:c r="I325" s="7"/>
      <x:c r="J325" s="9"/>
      <x:c r="K325" s="10"/>
      <x:c r="L325" s="7"/>
      <x:c r="M325" s="8"/>
      <x:c r="N325" s="17"/>
      <x:c r="O325" s="17"/>
    </x:row>
    <x:row r="326" ht="15" hidden="0" customHeight="1">
      <x:c r="A326" s="7"/>
      <x:c r="B326" s="7"/>
      <x:c r="C326" s="7"/>
      <x:c r="D326" s="8"/>
      <x:c r="E326" s="7"/>
      <x:c r="F326" s="7"/>
      <x:c r="G326" s="7"/>
      <x:c r="H326" s="7"/>
      <x:c r="I326" s="7"/>
      <x:c r="J326" s="9"/>
      <x:c r="K326" s="10"/>
      <x:c r="L326" s="7"/>
      <x:c r="M326" s="8"/>
      <x:c r="N326" s="17"/>
      <x:c r="O326" s="17"/>
    </x:row>
    <x:row r="327" ht="15" hidden="0" customHeight="1">
      <x:c r="A327" s="7"/>
      <x:c r="B327" s="7"/>
      <x:c r="C327" s="7"/>
      <x:c r="D327" s="8"/>
      <x:c r="E327" s="7"/>
      <x:c r="F327" s="7"/>
      <x:c r="G327" s="7"/>
      <x:c r="H327" s="7"/>
      <x:c r="I327" s="7"/>
      <x:c r="J327" s="9"/>
      <x:c r="K327" s="10"/>
      <x:c r="L327" s="7"/>
      <x:c r="M327" s="8"/>
      <x:c r="N327" s="17"/>
      <x:c r="O327" s="17"/>
    </x:row>
    <x:row r="328" ht="15" hidden="0" customHeight="1">
      <x:c r="A328" s="7"/>
      <x:c r="B328" s="7"/>
      <x:c r="C328" s="7"/>
      <x:c r="D328" s="8"/>
      <x:c r="E328" s="7"/>
      <x:c r="F328" s="7"/>
      <x:c r="G328" s="7"/>
      <x:c r="H328" s="7"/>
      <x:c r="I328" s="7"/>
      <x:c r="J328" s="9"/>
      <x:c r="K328" s="10"/>
      <x:c r="L328" s="7"/>
      <x:c r="M328" s="8"/>
      <x:c r="N328" s="17"/>
      <x:c r="O328" s="17"/>
    </x:row>
    <x:row r="329" ht="15" hidden="0" customHeight="1">
      <x:c r="A329" s="7"/>
      <x:c r="B329" s="7"/>
      <x:c r="C329" s="7"/>
      <x:c r="D329" s="8"/>
      <x:c r="E329" s="7"/>
      <x:c r="F329" s="7"/>
      <x:c r="G329" s="7"/>
      <x:c r="H329" s="7"/>
      <x:c r="I329" s="7"/>
      <x:c r="J329" s="9"/>
      <x:c r="K329" s="10"/>
      <x:c r="L329" s="7"/>
      <x:c r="M329" s="8"/>
      <x:c r="N329" s="17"/>
      <x:c r="O329" s="17"/>
    </x:row>
    <x:row r="330" ht="15" hidden="0" customHeight="1">
      <x:c r="A330" s="7"/>
      <x:c r="B330" s="7"/>
      <x:c r="C330" s="7"/>
      <x:c r="D330" s="8"/>
      <x:c r="E330" s="7"/>
      <x:c r="F330" s="7"/>
      <x:c r="G330" s="7"/>
      <x:c r="H330" s="7"/>
      <x:c r="I330" s="7"/>
      <x:c r="J330" s="9"/>
      <x:c r="K330" s="10"/>
      <x:c r="L330" s="7"/>
      <x:c r="M330" s="8"/>
      <x:c r="N330" s="17"/>
      <x:c r="O330" s="17"/>
    </x:row>
    <x:row r="331" ht="15" hidden="0" customHeight="1">
      <x:c r="A331" s="7"/>
      <x:c r="B331" s="7"/>
      <x:c r="C331" s="7"/>
      <x:c r="D331" s="8"/>
      <x:c r="E331" s="7"/>
      <x:c r="F331" s="7"/>
      <x:c r="G331" s="7"/>
      <x:c r="H331" s="7"/>
      <x:c r="I331" s="7"/>
      <x:c r="J331" s="9"/>
      <x:c r="K331" s="10"/>
      <x:c r="L331" s="7"/>
      <x:c r="M331" s="8"/>
      <x:c r="N331" s="17"/>
      <x:c r="O331" s="17"/>
    </x:row>
    <x:row r="332" ht="15" hidden="0" customHeight="1">
      <x:c r="A332" s="7"/>
      <x:c r="B332" s="7"/>
      <x:c r="C332" s="7"/>
      <x:c r="D332" s="8"/>
      <x:c r="E332" s="7"/>
      <x:c r="F332" s="7"/>
      <x:c r="G332" s="7"/>
      <x:c r="H332" s="7"/>
      <x:c r="I332" s="7"/>
      <x:c r="J332" s="9"/>
      <x:c r="K332" s="10"/>
      <x:c r="L332" s="7"/>
      <x:c r="M332" s="8"/>
      <x:c r="N332" s="17"/>
      <x:c r="O332" s="17"/>
    </x:row>
    <x:row r="333" ht="15" hidden="0" customHeight="1">
      <x:c r="A333" s="7"/>
      <x:c r="B333" s="7"/>
      <x:c r="C333" s="7"/>
      <x:c r="D333" s="8"/>
      <x:c r="E333" s="7"/>
      <x:c r="F333" s="7"/>
      <x:c r="G333" s="7"/>
      <x:c r="H333" s="7"/>
      <x:c r="I333" s="7"/>
      <x:c r="J333" s="9"/>
      <x:c r="K333" s="10"/>
      <x:c r="L333" s="7"/>
      <x:c r="M333" s="8"/>
      <x:c r="N333" s="17"/>
      <x:c r="O333" s="17"/>
    </x:row>
    <x:row r="334" ht="15" hidden="0" customHeight="1">
      <x:c r="A334" s="7"/>
      <x:c r="B334" s="7"/>
      <x:c r="C334" s="7"/>
      <x:c r="D334" s="8"/>
      <x:c r="E334" s="7"/>
      <x:c r="F334" s="7"/>
      <x:c r="G334" s="7"/>
      <x:c r="H334" s="7"/>
      <x:c r="I334" s="7"/>
      <x:c r="J334" s="9"/>
      <x:c r="K334" s="10"/>
      <x:c r="L334" s="7"/>
      <x:c r="M334" s="8"/>
      <x:c r="N334" s="17"/>
      <x:c r="O334" s="17"/>
    </x:row>
    <x:row r="335" ht="15" hidden="0" customHeight="1">
      <x:c r="A335" s="7"/>
      <x:c r="B335" s="7"/>
      <x:c r="C335" s="7"/>
      <x:c r="D335" s="8"/>
      <x:c r="E335" s="7"/>
      <x:c r="F335" s="7"/>
      <x:c r="G335" s="7"/>
      <x:c r="H335" s="7"/>
      <x:c r="I335" s="7"/>
      <x:c r="J335" s="9"/>
      <x:c r="K335" s="10"/>
      <x:c r="L335" s="7"/>
      <x:c r="M335" s="8"/>
      <x:c r="N335" s="17"/>
      <x:c r="O335" s="17"/>
    </x:row>
    <x:row r="336" ht="15" hidden="0" customHeight="1">
      <x:c r="A336" s="7"/>
      <x:c r="B336" s="7"/>
      <x:c r="C336" s="7"/>
      <x:c r="D336" s="8"/>
      <x:c r="E336" s="7"/>
      <x:c r="F336" s="7"/>
      <x:c r="G336" s="7"/>
      <x:c r="H336" s="7"/>
      <x:c r="I336" s="7"/>
      <x:c r="J336" s="9"/>
      <x:c r="K336" s="10"/>
      <x:c r="L336" s="7"/>
      <x:c r="M336" s="8"/>
      <x:c r="N336" s="17"/>
      <x:c r="O336" s="17"/>
    </x:row>
    <x:row r="337" ht="15" hidden="0" customHeight="1">
      <x:c r="A337" s="7"/>
      <x:c r="B337" s="7"/>
      <x:c r="C337" s="7"/>
      <x:c r="D337" s="8"/>
      <x:c r="E337" s="7"/>
      <x:c r="F337" s="7"/>
      <x:c r="G337" s="7"/>
      <x:c r="H337" s="7"/>
      <x:c r="I337" s="7"/>
      <x:c r="J337" s="9"/>
      <x:c r="K337" s="10"/>
      <x:c r="L337" s="7"/>
      <x:c r="M337" s="8"/>
      <x:c r="N337" s="17"/>
      <x:c r="O337" s="17"/>
    </x:row>
    <x:row r="338" ht="15" hidden="0" customHeight="1">
      <x:c r="A338" s="7"/>
      <x:c r="B338" s="7"/>
      <x:c r="C338" s="7"/>
      <x:c r="D338" s="8"/>
      <x:c r="E338" s="7"/>
      <x:c r="F338" s="7"/>
      <x:c r="G338" s="7"/>
      <x:c r="H338" s="7"/>
      <x:c r="I338" s="7"/>
      <x:c r="J338" s="9"/>
      <x:c r="K338" s="10"/>
      <x:c r="L338" s="7"/>
      <x:c r="M338" s="8"/>
      <x:c r="N338" s="17"/>
      <x:c r="O338" s="17"/>
    </x:row>
    <x:row r="339" ht="15" hidden="0" customHeight="1">
      <x:c r="A339" s="7"/>
      <x:c r="B339" s="7"/>
      <x:c r="C339" s="7"/>
      <x:c r="D339" s="8"/>
      <x:c r="E339" s="7"/>
      <x:c r="F339" s="7"/>
      <x:c r="G339" s="7"/>
      <x:c r="H339" s="7"/>
      <x:c r="I339" s="7"/>
      <x:c r="J339" s="9"/>
      <x:c r="K339" s="10"/>
      <x:c r="L339" s="7"/>
      <x:c r="M339" s="8"/>
      <x:c r="N339" s="17"/>
      <x:c r="O339" s="17"/>
    </x:row>
    <x:row r="340" ht="15" hidden="0" customHeight="1">
      <x:c r="A340" s="7"/>
      <x:c r="B340" s="7"/>
      <x:c r="C340" s="7"/>
      <x:c r="D340" s="8"/>
      <x:c r="E340" s="7"/>
      <x:c r="F340" s="7"/>
      <x:c r="G340" s="7"/>
      <x:c r="H340" s="7"/>
      <x:c r="I340" s="7"/>
      <x:c r="J340" s="9"/>
      <x:c r="K340" s="10"/>
      <x:c r="L340" s="7"/>
      <x:c r="M340" s="8"/>
      <x:c r="N340" s="17"/>
      <x:c r="O340" s="17"/>
    </x:row>
    <x:row r="341" ht="15" hidden="0" customHeight="1">
      <x:c r="A341" s="7"/>
      <x:c r="B341" s="7"/>
      <x:c r="C341" s="7"/>
      <x:c r="D341" s="8"/>
      <x:c r="E341" s="7"/>
      <x:c r="F341" s="7"/>
      <x:c r="G341" s="7"/>
      <x:c r="H341" s="7"/>
      <x:c r="I341" s="7"/>
      <x:c r="J341" s="9"/>
      <x:c r="K341" s="10"/>
      <x:c r="L341" s="7"/>
      <x:c r="M341" s="8"/>
      <x:c r="N341" s="17"/>
      <x:c r="O341" s="17"/>
    </x:row>
    <x:row r="342" ht="15" hidden="0" customHeight="1">
      <x:c r="A342" s="7"/>
      <x:c r="B342" s="7"/>
      <x:c r="C342" s="7"/>
      <x:c r="D342" s="8"/>
      <x:c r="E342" s="7"/>
      <x:c r="F342" s="7"/>
      <x:c r="G342" s="7"/>
      <x:c r="H342" s="7"/>
      <x:c r="I342" s="7"/>
      <x:c r="J342" s="9"/>
      <x:c r="K342" s="10"/>
      <x:c r="L342" s="7"/>
      <x:c r="M342" s="8"/>
      <x:c r="N342" s="17"/>
      <x:c r="O342" s="17"/>
    </x:row>
    <x:row r="343" ht="15" hidden="0" customHeight="1">
      <x:c r="A343" s="7"/>
      <x:c r="B343" s="7"/>
      <x:c r="C343" s="7"/>
      <x:c r="D343" s="8"/>
      <x:c r="E343" s="7"/>
      <x:c r="F343" s="7"/>
      <x:c r="G343" s="7"/>
      <x:c r="H343" s="7"/>
      <x:c r="I343" s="7"/>
      <x:c r="J343" s="9"/>
      <x:c r="K343" s="10"/>
      <x:c r="L343" s="7"/>
      <x:c r="M343" s="8"/>
      <x:c r="N343" s="17"/>
      <x:c r="O343" s="17"/>
    </x:row>
    <x:row r="344" ht="15" hidden="0" customHeight="1">
      <x:c r="A344" s="7"/>
      <x:c r="B344" s="7"/>
      <x:c r="C344" s="7"/>
      <x:c r="D344" s="8"/>
      <x:c r="E344" s="7"/>
      <x:c r="F344" s="7"/>
      <x:c r="G344" s="7"/>
      <x:c r="H344" s="7"/>
      <x:c r="I344" s="7"/>
      <x:c r="J344" s="9"/>
      <x:c r="K344" s="10"/>
      <x:c r="L344" s="7"/>
      <x:c r="M344" s="8"/>
      <x:c r="N344" s="17"/>
      <x:c r="O344" s="17"/>
    </x:row>
    <x:row r="345" ht="15" hidden="0" customHeight="1">
      <x:c r="A345" s="7"/>
      <x:c r="B345" s="7"/>
      <x:c r="C345" s="7"/>
      <x:c r="D345" s="8"/>
      <x:c r="E345" s="7"/>
      <x:c r="F345" s="7"/>
      <x:c r="G345" s="7"/>
      <x:c r="H345" s="7"/>
      <x:c r="I345" s="7"/>
      <x:c r="J345" s="9"/>
      <x:c r="K345" s="10"/>
      <x:c r="L345" s="7"/>
      <x:c r="M345" s="8"/>
      <x:c r="N345" s="17"/>
      <x:c r="O345" s="17"/>
    </x:row>
    <x:row r="346" ht="15" hidden="0" customHeight="1">
      <x:c r="A346" s="7"/>
      <x:c r="B346" s="7"/>
      <x:c r="C346" s="7"/>
      <x:c r="D346" s="8"/>
      <x:c r="E346" s="7"/>
      <x:c r="F346" s="7"/>
      <x:c r="G346" s="7"/>
      <x:c r="H346" s="7"/>
      <x:c r="I346" s="7"/>
      <x:c r="J346" s="9"/>
      <x:c r="K346" s="10"/>
      <x:c r="L346" s="7"/>
      <x:c r="M346" s="8"/>
      <x:c r="N346" s="17"/>
      <x:c r="O346" s="17"/>
    </x:row>
    <x:row r="347" ht="15" hidden="0" customHeight="1">
      <x:c r="A347" s="7"/>
      <x:c r="B347" s="7"/>
      <x:c r="C347" s="7"/>
      <x:c r="D347" s="8"/>
      <x:c r="E347" s="7"/>
      <x:c r="F347" s="7"/>
      <x:c r="G347" s="7"/>
      <x:c r="H347" s="7"/>
      <x:c r="I347" s="7"/>
      <x:c r="J347" s="9"/>
      <x:c r="K347" s="10"/>
      <x:c r="L347" s="7"/>
      <x:c r="M347" s="8"/>
      <x:c r="N347" s="17"/>
      <x:c r="O347" s="17"/>
    </x:row>
    <x:row r="348" ht="15" hidden="0" customHeight="1">
      <x:c r="A348" s="7"/>
      <x:c r="B348" s="7"/>
      <x:c r="C348" s="7"/>
      <x:c r="D348" s="8"/>
      <x:c r="E348" s="7"/>
      <x:c r="F348" s="7"/>
      <x:c r="G348" s="7"/>
      <x:c r="H348" s="7"/>
      <x:c r="I348" s="7"/>
      <x:c r="J348" s="9"/>
      <x:c r="K348" s="10"/>
      <x:c r="L348" s="7"/>
      <x:c r="M348" s="8"/>
      <x:c r="N348" s="17"/>
      <x:c r="O348" s="17"/>
    </x:row>
    <x:row r="349" ht="15" hidden="0" customHeight="1">
      <x:c r="A349" s="7"/>
      <x:c r="B349" s="7"/>
      <x:c r="C349" s="7"/>
      <x:c r="D349" s="8"/>
      <x:c r="E349" s="7"/>
      <x:c r="F349" s="7"/>
      <x:c r="G349" s="7"/>
      <x:c r="H349" s="7"/>
      <x:c r="I349" s="7"/>
      <x:c r="J349" s="9"/>
      <x:c r="K349" s="10"/>
      <x:c r="L349" s="7"/>
      <x:c r="M349" s="8"/>
      <x:c r="N349" s="17"/>
      <x:c r="O349" s="17"/>
    </x:row>
    <x:row r="350" ht="15" hidden="0" customHeight="1">
      <x:c r="A350" s="7"/>
      <x:c r="B350" s="7"/>
      <x:c r="C350" s="7"/>
      <x:c r="D350" s="8"/>
      <x:c r="E350" s="7"/>
      <x:c r="F350" s="7"/>
      <x:c r="G350" s="7"/>
      <x:c r="H350" s="7"/>
      <x:c r="I350" s="7"/>
      <x:c r="J350" s="9"/>
      <x:c r="K350" s="10"/>
      <x:c r="L350" s="7"/>
      <x:c r="M350" s="8"/>
      <x:c r="N350" s="17"/>
      <x:c r="O350" s="17"/>
    </x:row>
    <x:row r="351" ht="15" hidden="0" customHeight="1">
      <x:c r="A351" s="7"/>
      <x:c r="B351" s="7"/>
      <x:c r="C351" s="7"/>
      <x:c r="D351" s="8"/>
      <x:c r="E351" s="7"/>
      <x:c r="F351" s="7"/>
      <x:c r="G351" s="7"/>
      <x:c r="H351" s="7"/>
      <x:c r="I351" s="7"/>
      <x:c r="J351" s="9"/>
      <x:c r="K351" s="10"/>
      <x:c r="L351" s="7"/>
      <x:c r="M351" s="8"/>
      <x:c r="N351" s="17"/>
      <x:c r="O351" s="17"/>
    </x:row>
    <x:row r="352" ht="15" hidden="0" customHeight="1">
      <x:c r="A352" s="7"/>
      <x:c r="B352" s="7"/>
      <x:c r="C352" s="7"/>
      <x:c r="D352" s="8"/>
      <x:c r="E352" s="7"/>
      <x:c r="F352" s="7"/>
      <x:c r="G352" s="7"/>
      <x:c r="H352" s="7"/>
      <x:c r="I352" s="7"/>
      <x:c r="J352" s="9"/>
      <x:c r="K352" s="10"/>
      <x:c r="L352" s="7"/>
      <x:c r="M352" s="8"/>
      <x:c r="N352" s="17"/>
      <x:c r="O352" s="17"/>
    </x:row>
    <x:row r="353" ht="15" hidden="0" customHeight="1">
      <x:c r="A353" s="7"/>
      <x:c r="B353" s="7"/>
      <x:c r="C353" s="7"/>
      <x:c r="D353" s="8"/>
      <x:c r="E353" s="7"/>
      <x:c r="F353" s="7"/>
      <x:c r="G353" s="7"/>
      <x:c r="H353" s="7"/>
      <x:c r="I353" s="7"/>
      <x:c r="J353" s="9"/>
      <x:c r="K353" s="10"/>
      <x:c r="L353" s="7"/>
      <x:c r="M353" s="8"/>
      <x:c r="N353" s="17"/>
      <x:c r="O353" s="17"/>
    </x:row>
    <x:row r="354" ht="15" hidden="0" customHeight="1">
      <x:c r="A354" s="7"/>
      <x:c r="B354" s="7"/>
      <x:c r="C354" s="7"/>
      <x:c r="D354" s="8"/>
      <x:c r="E354" s="7"/>
      <x:c r="F354" s="7"/>
      <x:c r="G354" s="7"/>
      <x:c r="H354" s="7"/>
      <x:c r="I354" s="7"/>
      <x:c r="J354" s="9"/>
      <x:c r="K354" s="10"/>
      <x:c r="L354" s="7"/>
      <x:c r="M354" s="8"/>
      <x:c r="N354" s="17"/>
      <x:c r="O354" s="17"/>
    </x:row>
    <x:row r="355" ht="15" hidden="0" customHeight="1">
      <x:c r="A355" s="7"/>
      <x:c r="B355" s="7"/>
      <x:c r="C355" s="7"/>
      <x:c r="D355" s="8"/>
      <x:c r="E355" s="7"/>
      <x:c r="F355" s="7"/>
      <x:c r="G355" s="7"/>
      <x:c r="H355" s="7"/>
      <x:c r="I355" s="7"/>
      <x:c r="J355" s="9"/>
      <x:c r="K355" s="10"/>
      <x:c r="L355" s="7"/>
      <x:c r="M355" s="8"/>
      <x:c r="N355" s="17"/>
      <x:c r="O355" s="17"/>
    </x:row>
    <x:row r="356" ht="15" hidden="0" customHeight="1">
      <x:c r="A356" s="7"/>
      <x:c r="B356" s="7"/>
      <x:c r="C356" s="7"/>
      <x:c r="D356" s="8"/>
      <x:c r="E356" s="7"/>
      <x:c r="F356" s="7"/>
      <x:c r="G356" s="7"/>
      <x:c r="H356" s="7"/>
      <x:c r="I356" s="7"/>
      <x:c r="J356" s="9"/>
      <x:c r="K356" s="10"/>
      <x:c r="L356" s="7"/>
      <x:c r="M356" s="8"/>
      <x:c r="N356" s="17"/>
      <x:c r="O356" s="17"/>
    </x:row>
    <x:row r="357" ht="15" hidden="0" customHeight="1">
      <x:c r="A357" s="7"/>
      <x:c r="B357" s="7"/>
      <x:c r="C357" s="7"/>
      <x:c r="D357" s="8"/>
      <x:c r="E357" s="7"/>
      <x:c r="F357" s="7"/>
      <x:c r="G357" s="7"/>
      <x:c r="H357" s="7"/>
      <x:c r="I357" s="7"/>
      <x:c r="J357" s="9"/>
      <x:c r="K357" s="10"/>
      <x:c r="L357" s="7"/>
      <x:c r="M357" s="8"/>
      <x:c r="N357" s="17"/>
      <x:c r="O357" s="17"/>
    </x:row>
    <x:row r="358" ht="15" hidden="0" customHeight="1">
      <x:c r="A358" s="7"/>
      <x:c r="B358" s="7"/>
      <x:c r="C358" s="7"/>
      <x:c r="D358" s="8"/>
      <x:c r="E358" s="7"/>
      <x:c r="F358" s="7"/>
      <x:c r="G358" s="7"/>
      <x:c r="H358" s="7"/>
      <x:c r="I358" s="7"/>
      <x:c r="J358" s="9"/>
      <x:c r="K358" s="10"/>
      <x:c r="L358" s="7"/>
      <x:c r="M358" s="8"/>
      <x:c r="N358" s="17"/>
      <x:c r="O358" s="17"/>
    </x:row>
    <x:row r="359" ht="15" hidden="0" customHeight="1">
      <x:c r="A359" s="7"/>
      <x:c r="B359" s="7"/>
      <x:c r="C359" s="7"/>
      <x:c r="D359" s="8"/>
      <x:c r="E359" s="7"/>
      <x:c r="F359" s="7"/>
      <x:c r="G359" s="7"/>
      <x:c r="H359" s="7"/>
      <x:c r="I359" s="7"/>
      <x:c r="J359" s="9"/>
      <x:c r="K359" s="10"/>
      <x:c r="L359" s="7"/>
      <x:c r="M359" s="8"/>
      <x:c r="N359" s="17"/>
      <x:c r="O359" s="17"/>
    </x:row>
    <x:row r="360" ht="15" hidden="0" customHeight="1">
      <x:c r="A360" s="7"/>
      <x:c r="B360" s="7"/>
      <x:c r="C360" s="7"/>
      <x:c r="D360" s="8"/>
      <x:c r="E360" s="7"/>
      <x:c r="F360" s="7"/>
      <x:c r="G360" s="7"/>
      <x:c r="H360" s="7"/>
      <x:c r="I360" s="7"/>
      <x:c r="J360" s="9"/>
      <x:c r="K360" s="10"/>
      <x:c r="L360" s="7"/>
      <x:c r="M360" s="8"/>
      <x:c r="N360" s="17"/>
      <x:c r="O360" s="17"/>
    </x:row>
    <x:row r="361" ht="15" hidden="0" customHeight="1">
      <x:c r="A361" s="7"/>
      <x:c r="B361" s="7"/>
      <x:c r="C361" s="7"/>
      <x:c r="D361" s="8"/>
      <x:c r="E361" s="7"/>
      <x:c r="F361" s="7"/>
      <x:c r="G361" s="7"/>
      <x:c r="H361" s="7"/>
      <x:c r="I361" s="7"/>
      <x:c r="J361" s="9"/>
      <x:c r="K361" s="10"/>
      <x:c r="L361" s="7"/>
      <x:c r="M361" s="8"/>
      <x:c r="N361" s="17"/>
      <x:c r="O361" s="17"/>
    </x:row>
    <x:row r="362" ht="15" hidden="0" customHeight="1">
      <x:c r="A362" s="7"/>
      <x:c r="B362" s="7"/>
      <x:c r="C362" s="7"/>
      <x:c r="D362" s="8"/>
      <x:c r="E362" s="7"/>
      <x:c r="F362" s="7"/>
      <x:c r="G362" s="7"/>
      <x:c r="H362" s="7"/>
      <x:c r="I362" s="7"/>
      <x:c r="J362" s="9"/>
      <x:c r="K362" s="10"/>
      <x:c r="L362" s="7"/>
      <x:c r="M362" s="8"/>
      <x:c r="N362" s="17"/>
      <x:c r="O362" s="17"/>
    </x:row>
    <x:row r="363" ht="15" hidden="0" customHeight="1">
      <x:c r="A363" s="7"/>
      <x:c r="B363" s="7"/>
      <x:c r="C363" s="7"/>
      <x:c r="D363" s="8"/>
      <x:c r="E363" s="7"/>
      <x:c r="F363" s="7"/>
      <x:c r="G363" s="7"/>
      <x:c r="H363" s="7"/>
      <x:c r="I363" s="7"/>
      <x:c r="J363" s="9"/>
      <x:c r="K363" s="10"/>
      <x:c r="L363" s="7"/>
      <x:c r="M363" s="8"/>
      <x:c r="N363" s="17"/>
      <x:c r="O363" s="17"/>
    </x:row>
    <x:row r="364" ht="15" hidden="0" customHeight="1">
      <x:c r="A364" s="7"/>
      <x:c r="B364" s="7"/>
      <x:c r="C364" s="7"/>
      <x:c r="D364" s="8"/>
      <x:c r="E364" s="7"/>
      <x:c r="F364" s="7"/>
      <x:c r="G364" s="7"/>
      <x:c r="H364" s="7"/>
      <x:c r="I364" s="7"/>
      <x:c r="J364" s="9"/>
      <x:c r="K364" s="10"/>
      <x:c r="L364" s="7"/>
      <x:c r="M364" s="8"/>
      <x:c r="N364" s="17"/>
      <x:c r="O364" s="17"/>
    </x:row>
    <x:row r="365" ht="15" hidden="0" customHeight="1">
      <x:c r="A365" s="7"/>
      <x:c r="B365" s="7"/>
      <x:c r="C365" s="7"/>
      <x:c r="D365" s="8"/>
      <x:c r="E365" s="7"/>
      <x:c r="F365" s="7"/>
      <x:c r="G365" s="7"/>
      <x:c r="H365" s="7"/>
      <x:c r="I365" s="7"/>
      <x:c r="J365" s="9"/>
      <x:c r="K365" s="10"/>
      <x:c r="L365" s="7"/>
      <x:c r="M365" s="8"/>
      <x:c r="N365" s="17"/>
      <x:c r="O365" s="17"/>
    </x:row>
    <x:row r="366" ht="15" hidden="0" customHeight="1">
      <x:c r="A366" s="7"/>
      <x:c r="B366" s="7"/>
      <x:c r="C366" s="7"/>
      <x:c r="D366" s="8"/>
      <x:c r="E366" s="7"/>
      <x:c r="F366" s="7"/>
      <x:c r="G366" s="7"/>
      <x:c r="H366" s="7"/>
      <x:c r="I366" s="7"/>
      <x:c r="J366" s="9"/>
      <x:c r="K366" s="10"/>
      <x:c r="L366" s="7"/>
      <x:c r="M366" s="8"/>
      <x:c r="N366" s="17"/>
      <x:c r="O366" s="17"/>
    </x:row>
    <x:row r="367" ht="15" hidden="0" customHeight="1">
      <x:c r="A367" s="7"/>
      <x:c r="B367" s="7"/>
      <x:c r="C367" s="7"/>
      <x:c r="D367" s="8"/>
      <x:c r="E367" s="7"/>
      <x:c r="F367" s="7"/>
      <x:c r="G367" s="7"/>
      <x:c r="H367" s="7"/>
      <x:c r="I367" s="7"/>
      <x:c r="J367" s="9"/>
      <x:c r="K367" s="10"/>
      <x:c r="L367" s="7"/>
      <x:c r="M367" s="8"/>
      <x:c r="N367" s="17"/>
      <x:c r="O367" s="17"/>
    </x:row>
    <x:row r="368" ht="15" hidden="0" customHeight="1">
      <x:c r="A368" s="7"/>
      <x:c r="B368" s="7"/>
      <x:c r="C368" s="7"/>
      <x:c r="D368" s="8"/>
      <x:c r="E368" s="7"/>
      <x:c r="F368" s="7"/>
      <x:c r="G368" s="7"/>
      <x:c r="H368" s="7"/>
      <x:c r="I368" s="7"/>
      <x:c r="J368" s="9"/>
      <x:c r="K368" s="10"/>
      <x:c r="L368" s="7"/>
      <x:c r="M368" s="8"/>
      <x:c r="N368" s="17"/>
      <x:c r="O368" s="17"/>
    </x:row>
    <x:row r="369" ht="15" hidden="0" customHeight="1">
      <x:c r="A369" s="7"/>
      <x:c r="B369" s="7"/>
      <x:c r="C369" s="7"/>
      <x:c r="D369" s="8"/>
      <x:c r="E369" s="7"/>
      <x:c r="F369" s="7"/>
      <x:c r="G369" s="7"/>
      <x:c r="H369" s="7"/>
      <x:c r="I369" s="7"/>
      <x:c r="J369" s="9"/>
      <x:c r="K369" s="10"/>
      <x:c r="L369" s="7"/>
      <x:c r="M369" s="8"/>
      <x:c r="N369" s="17"/>
      <x:c r="O369" s="17"/>
    </x:row>
    <x:row r="370" ht="15" hidden="0" customHeight="1">
      <x:c r="A370" s="7"/>
      <x:c r="B370" s="7"/>
      <x:c r="C370" s="7"/>
      <x:c r="D370" s="8"/>
      <x:c r="E370" s="7"/>
      <x:c r="F370" s="7"/>
      <x:c r="G370" s="7"/>
      <x:c r="H370" s="7"/>
      <x:c r="I370" s="7"/>
      <x:c r="J370" s="9"/>
      <x:c r="K370" s="10"/>
      <x:c r="L370" s="7"/>
      <x:c r="M370" s="8"/>
      <x:c r="N370" s="17"/>
      <x:c r="O370" s="17"/>
    </x:row>
    <x:row r="371" ht="15" hidden="0" customHeight="1">
      <x:c r="A371" s="7"/>
      <x:c r="B371" s="7"/>
      <x:c r="C371" s="7"/>
      <x:c r="D371" s="8"/>
      <x:c r="E371" s="7"/>
      <x:c r="F371" s="7"/>
      <x:c r="G371" s="7"/>
      <x:c r="H371" s="7"/>
      <x:c r="I371" s="7"/>
      <x:c r="J371" s="9"/>
      <x:c r="K371" s="10"/>
      <x:c r="L371" s="7"/>
      <x:c r="M371" s="8"/>
      <x:c r="N371" s="17"/>
      <x:c r="O371" s="17"/>
    </x:row>
    <x:row r="372" ht="15" hidden="0" customHeight="1">
      <x:c r="A372" s="7"/>
      <x:c r="B372" s="7"/>
      <x:c r="C372" s="7"/>
      <x:c r="D372" s="8"/>
      <x:c r="E372" s="7"/>
      <x:c r="F372" s="7"/>
      <x:c r="G372" s="7"/>
      <x:c r="H372" s="7"/>
      <x:c r="I372" s="7"/>
      <x:c r="J372" s="9"/>
      <x:c r="K372" s="10"/>
      <x:c r="L372" s="7"/>
      <x:c r="M372" s="8"/>
      <x:c r="N372" s="17"/>
      <x:c r="O372" s="17"/>
    </x:row>
    <x:row r="373" ht="15" hidden="0" customHeight="1">
      <x:c r="A373" s="7"/>
      <x:c r="B373" s="7"/>
      <x:c r="C373" s="7"/>
      <x:c r="D373" s="8"/>
      <x:c r="E373" s="7"/>
      <x:c r="F373" s="7"/>
      <x:c r="G373" s="7"/>
      <x:c r="H373" s="7"/>
      <x:c r="I373" s="7"/>
      <x:c r="J373" s="9"/>
      <x:c r="K373" s="10"/>
      <x:c r="L373" s="7"/>
      <x:c r="M373" s="8"/>
      <x:c r="N373" s="17"/>
      <x:c r="O373" s="17"/>
    </x:row>
    <x:row r="374" ht="15" hidden="0" customHeight="1">
      <x:c r="A374" s="7"/>
      <x:c r="B374" s="7"/>
      <x:c r="C374" s="7"/>
      <x:c r="D374" s="8"/>
      <x:c r="E374" s="7"/>
      <x:c r="F374" s="7"/>
      <x:c r="G374" s="7"/>
      <x:c r="H374" s="7"/>
      <x:c r="I374" s="7"/>
      <x:c r="J374" s="9"/>
      <x:c r="K374" s="10"/>
      <x:c r="L374" s="7"/>
      <x:c r="M374" s="8"/>
      <x:c r="N374" s="17"/>
      <x:c r="O374" s="17"/>
    </x:row>
    <x:row r="375" ht="15" hidden="0" customHeight="1">
      <x:c r="A375" s="7"/>
      <x:c r="B375" s="7"/>
      <x:c r="C375" s="7"/>
      <x:c r="D375" s="8"/>
      <x:c r="E375" s="7"/>
      <x:c r="F375" s="7"/>
      <x:c r="G375" s="7"/>
      <x:c r="H375" s="7"/>
      <x:c r="I375" s="7"/>
      <x:c r="J375" s="9"/>
      <x:c r="K375" s="10"/>
      <x:c r="L375" s="7"/>
      <x:c r="M375" s="8"/>
      <x:c r="N375" s="17"/>
      <x:c r="O375" s="17"/>
    </x:row>
    <x:row r="376" ht="15" hidden="0" customHeight="1">
      <x:c r="A376" s="7"/>
      <x:c r="B376" s="7"/>
      <x:c r="C376" s="7"/>
      <x:c r="D376" s="8"/>
      <x:c r="E376" s="7"/>
      <x:c r="F376" s="7"/>
      <x:c r="G376" s="7"/>
      <x:c r="H376" s="7"/>
      <x:c r="I376" s="7"/>
      <x:c r="J376" s="9"/>
      <x:c r="K376" s="10"/>
      <x:c r="L376" s="7"/>
      <x:c r="M376" s="8"/>
      <x:c r="N376" s="17"/>
      <x:c r="O376" s="17"/>
    </x:row>
    <x:row r="377" ht="15" hidden="0" customHeight="1">
      <x:c r="A377" s="7"/>
      <x:c r="B377" s="7"/>
      <x:c r="C377" s="7"/>
      <x:c r="D377" s="8"/>
      <x:c r="E377" s="7"/>
      <x:c r="F377" s="7"/>
      <x:c r="G377" s="7"/>
      <x:c r="H377" s="7"/>
      <x:c r="I377" s="7"/>
      <x:c r="J377" s="9"/>
      <x:c r="K377" s="10"/>
      <x:c r="L377" s="7"/>
      <x:c r="M377" s="8"/>
      <x:c r="N377" s="17"/>
      <x:c r="O377" s="17"/>
    </x:row>
    <x:row r="378" ht="15" hidden="0" customHeight="1">
      <x:c r="A378" s="7"/>
      <x:c r="B378" s="7"/>
      <x:c r="C378" s="7"/>
      <x:c r="D378" s="8"/>
      <x:c r="E378" s="7"/>
      <x:c r="F378" s="7"/>
      <x:c r="G378" s="7"/>
      <x:c r="H378" s="7"/>
      <x:c r="I378" s="7"/>
      <x:c r="J378" s="9"/>
      <x:c r="K378" s="10"/>
      <x:c r="L378" s="7"/>
      <x:c r="M378" s="8"/>
      <x:c r="N378" s="17"/>
      <x:c r="O378" s="17"/>
    </x:row>
    <x:row r="379" ht="15" hidden="0" customHeight="1">
      <x:c r="A379" s="7"/>
      <x:c r="B379" s="7"/>
      <x:c r="C379" s="7"/>
      <x:c r="D379" s="8"/>
      <x:c r="E379" s="7"/>
      <x:c r="F379" s="7"/>
      <x:c r="G379" s="7"/>
      <x:c r="H379" s="7"/>
      <x:c r="I379" s="7"/>
      <x:c r="J379" s="9"/>
      <x:c r="K379" s="10"/>
      <x:c r="L379" s="7"/>
      <x:c r="M379" s="8"/>
      <x:c r="N379" s="17"/>
      <x:c r="O379" s="17"/>
    </x:row>
    <x:row r="380" ht="15" hidden="0" customHeight="1">
      <x:c r="A380" s="7"/>
      <x:c r="B380" s="7"/>
      <x:c r="C380" s="7"/>
      <x:c r="D380" s="8"/>
      <x:c r="E380" s="7"/>
      <x:c r="F380" s="7"/>
      <x:c r="G380" s="7"/>
      <x:c r="H380" s="7"/>
      <x:c r="I380" s="7"/>
      <x:c r="J380" s="9"/>
      <x:c r="K380" s="10"/>
      <x:c r="L380" s="7"/>
      <x:c r="M380" s="8"/>
      <x:c r="N380" s="17"/>
      <x:c r="O380" s="17"/>
    </x:row>
    <x:row r="381" ht="15" hidden="0" customHeight="1">
      <x:c r="A381" s="7"/>
      <x:c r="B381" s="7"/>
      <x:c r="C381" s="7"/>
      <x:c r="D381" s="8"/>
      <x:c r="E381" s="7"/>
      <x:c r="F381" s="7"/>
      <x:c r="G381" s="7"/>
      <x:c r="H381" s="7"/>
      <x:c r="I381" s="7"/>
      <x:c r="J381" s="9"/>
      <x:c r="K381" s="10"/>
      <x:c r="L381" s="7"/>
      <x:c r="M381" s="8"/>
      <x:c r="N381" s="17"/>
      <x:c r="O381" s="17"/>
    </x:row>
    <x:row r="382" ht="15" hidden="0" customHeight="1">
      <x:c r="A382" s="7"/>
      <x:c r="B382" s="7"/>
      <x:c r="C382" s="7"/>
      <x:c r="D382" s="8"/>
      <x:c r="E382" s="7"/>
      <x:c r="F382" s="7"/>
      <x:c r="G382" s="7"/>
      <x:c r="H382" s="7"/>
      <x:c r="I382" s="7"/>
      <x:c r="J382" s="9"/>
      <x:c r="K382" s="10"/>
      <x:c r="L382" s="7"/>
      <x:c r="M382" s="8"/>
      <x:c r="N382" s="17"/>
      <x:c r="O382" s="17"/>
    </x:row>
    <x:row r="383" ht="15" hidden="0" customHeight="1">
      <x:c r="A383" s="7"/>
      <x:c r="B383" s="7"/>
      <x:c r="C383" s="7"/>
      <x:c r="D383" s="8"/>
      <x:c r="E383" s="7"/>
      <x:c r="F383" s="7"/>
      <x:c r="G383" s="7"/>
      <x:c r="H383" s="7"/>
      <x:c r="I383" s="7"/>
      <x:c r="J383" s="9"/>
      <x:c r="K383" s="10"/>
      <x:c r="L383" s="7"/>
      <x:c r="M383" s="8"/>
      <x:c r="N383" s="17"/>
      <x:c r="O383" s="17"/>
    </x:row>
    <x:row r="384" ht="15" hidden="0" customHeight="1">
      <x:c r="A384" s="7"/>
      <x:c r="B384" s="7"/>
      <x:c r="C384" s="7"/>
      <x:c r="D384" s="8"/>
      <x:c r="E384" s="7"/>
      <x:c r="F384" s="7"/>
      <x:c r="G384" s="7"/>
      <x:c r="H384" s="7"/>
      <x:c r="I384" s="7"/>
      <x:c r="J384" s="9"/>
      <x:c r="K384" s="10"/>
      <x:c r="L384" s="7"/>
      <x:c r="M384" s="8"/>
      <x:c r="N384" s="17"/>
      <x:c r="O384" s="17"/>
    </x:row>
    <x:row r="385" ht="15" hidden="0" customHeight="1">
      <x:c r="A385" s="7"/>
      <x:c r="B385" s="7"/>
      <x:c r="C385" s="7"/>
      <x:c r="D385" s="8"/>
      <x:c r="E385" s="7"/>
      <x:c r="F385" s="7"/>
      <x:c r="G385" s="7"/>
      <x:c r="H385" s="7"/>
      <x:c r="I385" s="7"/>
      <x:c r="J385" s="9"/>
      <x:c r="K385" s="10"/>
      <x:c r="L385" s="7"/>
      <x:c r="M385" s="8"/>
      <x:c r="N385" s="17"/>
      <x:c r="O385" s="17"/>
    </x:row>
    <x:row r="386" ht="15" hidden="0" customHeight="1">
      <x:c r="A386" s="7"/>
      <x:c r="B386" s="7"/>
      <x:c r="C386" s="7"/>
      <x:c r="D386" s="8"/>
      <x:c r="E386" s="7"/>
      <x:c r="F386" s="7"/>
      <x:c r="G386" s="7"/>
      <x:c r="H386" s="7"/>
      <x:c r="I386" s="7"/>
      <x:c r="J386" s="9"/>
      <x:c r="K386" s="10"/>
      <x:c r="L386" s="7"/>
      <x:c r="M386" s="8"/>
      <x:c r="N386" s="17"/>
      <x:c r="O386" s="17"/>
    </x:row>
    <x:row r="387" ht="15" hidden="0" customHeight="1">
      <x:c r="A387" s="7"/>
      <x:c r="B387" s="7"/>
      <x:c r="C387" s="7"/>
      <x:c r="D387" s="8"/>
      <x:c r="E387" s="7"/>
      <x:c r="F387" s="7"/>
      <x:c r="G387" s="7"/>
      <x:c r="H387" s="7"/>
      <x:c r="I387" s="7"/>
      <x:c r="J387" s="9"/>
      <x:c r="K387" s="10"/>
      <x:c r="L387" s="7"/>
      <x:c r="M387" s="8"/>
      <x:c r="N387" s="17"/>
      <x:c r="O387" s="17"/>
    </x:row>
    <x:row r="388" ht="15" hidden="0" customHeight="1">
      <x:c r="A388" s="7"/>
      <x:c r="B388" s="7"/>
      <x:c r="C388" s="7"/>
      <x:c r="D388" s="8"/>
      <x:c r="E388" s="7"/>
      <x:c r="F388" s="7"/>
      <x:c r="G388" s="7"/>
      <x:c r="H388" s="7"/>
      <x:c r="I388" s="7"/>
      <x:c r="J388" s="9"/>
      <x:c r="K388" s="10"/>
      <x:c r="L388" s="7"/>
      <x:c r="M388" s="8"/>
      <x:c r="N388" s="17"/>
      <x:c r="O388" s="17"/>
    </x:row>
    <x:row r="389" ht="15" hidden="0" customHeight="1">
      <x:c r="A389" s="7"/>
      <x:c r="B389" s="7"/>
      <x:c r="C389" s="7"/>
      <x:c r="D389" s="8"/>
      <x:c r="E389" s="7"/>
      <x:c r="F389" s="7"/>
      <x:c r="G389" s="7"/>
      <x:c r="H389" s="7"/>
      <x:c r="I389" s="7"/>
      <x:c r="J389" s="9"/>
      <x:c r="K389" s="10"/>
      <x:c r="L389" s="7"/>
      <x:c r="M389" s="8"/>
      <x:c r="N389" s="17"/>
      <x:c r="O389" s="17"/>
    </x:row>
    <x:row r="390" ht="15" hidden="0" customHeight="1">
      <x:c r="A390" s="7"/>
      <x:c r="B390" s="7"/>
      <x:c r="C390" s="7"/>
      <x:c r="D390" s="8"/>
      <x:c r="E390" s="7"/>
      <x:c r="F390" s="7"/>
      <x:c r="G390" s="7"/>
      <x:c r="H390" s="7"/>
      <x:c r="I390" s="7"/>
      <x:c r="J390" s="9"/>
      <x:c r="K390" s="10"/>
      <x:c r="L390" s="7"/>
      <x:c r="M390" s="8"/>
      <x:c r="N390" s="17"/>
      <x:c r="O390" s="17"/>
    </x:row>
    <x:row r="391" ht="15" hidden="0" customHeight="1">
      <x:c r="A391" s="7"/>
      <x:c r="B391" s="7"/>
      <x:c r="C391" s="7"/>
      <x:c r="D391" s="8"/>
      <x:c r="E391" s="7"/>
      <x:c r="F391" s="7"/>
      <x:c r="G391" s="7"/>
      <x:c r="H391" s="7"/>
      <x:c r="I391" s="7"/>
      <x:c r="J391" s="9"/>
      <x:c r="K391" s="10"/>
      <x:c r="L391" s="7"/>
      <x:c r="M391" s="8"/>
      <x:c r="N391" s="17"/>
      <x:c r="O391" s="17"/>
    </x:row>
    <x:row r="392" ht="15" hidden="0" customHeight="1">
      <x:c r="A392" s="7"/>
      <x:c r="B392" s="7"/>
      <x:c r="C392" s="7"/>
      <x:c r="D392" s="8"/>
      <x:c r="E392" s="7"/>
      <x:c r="F392" s="7"/>
      <x:c r="G392" s="7"/>
      <x:c r="H392" s="7"/>
      <x:c r="I392" s="7"/>
      <x:c r="J392" s="9"/>
      <x:c r="K392" s="10"/>
      <x:c r="L392" s="7"/>
      <x:c r="M392" s="8"/>
      <x:c r="N392" s="17"/>
      <x:c r="O392" s="17"/>
    </x:row>
    <x:row r="393" ht="15" hidden="0" customHeight="1">
      <x:c r="A393" s="7"/>
      <x:c r="B393" s="7"/>
      <x:c r="C393" s="7"/>
      <x:c r="D393" s="8"/>
      <x:c r="E393" s="7"/>
      <x:c r="F393" s="7"/>
      <x:c r="G393" s="7"/>
      <x:c r="H393" s="7"/>
      <x:c r="I393" s="7"/>
      <x:c r="J393" s="9"/>
      <x:c r="K393" s="10"/>
      <x:c r="L393" s="7"/>
      <x:c r="M393" s="8"/>
      <x:c r="N393" s="17"/>
      <x:c r="O393" s="17"/>
    </x:row>
    <x:row r="394" ht="15" hidden="0" customHeight="1">
      <x:c r="A394" s="7"/>
      <x:c r="B394" s="7"/>
      <x:c r="C394" s="7"/>
      <x:c r="D394" s="8"/>
      <x:c r="E394" s="7"/>
      <x:c r="F394" s="7"/>
      <x:c r="G394" s="7"/>
      <x:c r="H394" s="7"/>
      <x:c r="I394" s="7"/>
      <x:c r="J394" s="9"/>
      <x:c r="K394" s="10"/>
      <x:c r="L394" s="7"/>
      <x:c r="M394" s="8"/>
      <x:c r="N394" s="17"/>
      <x:c r="O394" s="17"/>
    </x:row>
    <x:row r="395" ht="15" hidden="0" customHeight="1">
      <x:c r="A395" s="7"/>
      <x:c r="B395" s="7"/>
      <x:c r="C395" s="7"/>
      <x:c r="D395" s="8"/>
      <x:c r="E395" s="7"/>
      <x:c r="F395" s="7"/>
      <x:c r="G395" s="7"/>
      <x:c r="H395" s="7"/>
      <x:c r="I395" s="7"/>
      <x:c r="J395" s="9"/>
      <x:c r="K395" s="10"/>
      <x:c r="L395" s="7"/>
      <x:c r="M395" s="8"/>
      <x:c r="N395" s="17"/>
      <x:c r="O395" s="17"/>
    </x:row>
    <x:row r="396" ht="15" hidden="0" customHeight="1">
      <x:c r="A396" s="7"/>
      <x:c r="B396" s="7"/>
      <x:c r="C396" s="7"/>
      <x:c r="D396" s="8"/>
      <x:c r="E396" s="7"/>
      <x:c r="F396" s="7"/>
      <x:c r="G396" s="7"/>
      <x:c r="H396" s="7"/>
      <x:c r="I396" s="7"/>
      <x:c r="J396" s="9"/>
      <x:c r="K396" s="10"/>
      <x:c r="L396" s="7"/>
      <x:c r="M396" s="8"/>
      <x:c r="N396" s="17"/>
      <x:c r="O396" s="17"/>
    </x:row>
    <x:row r="397" ht="15" hidden="0" customHeight="1">
      <x:c r="A397" s="7"/>
      <x:c r="B397" s="7"/>
      <x:c r="C397" s="7"/>
      <x:c r="D397" s="8"/>
      <x:c r="E397" s="7"/>
      <x:c r="F397" s="7"/>
      <x:c r="G397" s="7"/>
      <x:c r="H397" s="7"/>
      <x:c r="I397" s="7"/>
      <x:c r="J397" s="9"/>
      <x:c r="K397" s="10"/>
      <x:c r="L397" s="7"/>
      <x:c r="M397" s="8"/>
      <x:c r="N397" s="17"/>
      <x:c r="O397" s="17"/>
    </x:row>
    <x:row r="398" ht="15" hidden="0" customHeight="1">
      <x:c r="A398" s="7"/>
      <x:c r="B398" s="7"/>
      <x:c r="C398" s="7"/>
      <x:c r="D398" s="8"/>
      <x:c r="E398" s="7"/>
      <x:c r="F398" s="7"/>
      <x:c r="G398" s="7"/>
      <x:c r="H398" s="7"/>
      <x:c r="I398" s="7"/>
      <x:c r="J398" s="9"/>
      <x:c r="K398" s="10"/>
      <x:c r="L398" s="7"/>
      <x:c r="M398" s="8"/>
      <x:c r="N398" s="17"/>
      <x:c r="O398" s="17"/>
    </x:row>
    <x:row r="399" ht="15" hidden="0" customHeight="1">
      <x:c r="A399" s="7"/>
      <x:c r="B399" s="7"/>
      <x:c r="C399" s="7"/>
      <x:c r="D399" s="8"/>
      <x:c r="E399" s="7"/>
      <x:c r="F399" s="7"/>
      <x:c r="G399" s="7"/>
      <x:c r="H399" s="7"/>
      <x:c r="I399" s="7"/>
      <x:c r="J399" s="9"/>
      <x:c r="K399" s="10"/>
      <x:c r="L399" s="7"/>
      <x:c r="M399" s="8"/>
      <x:c r="N399" s="17"/>
      <x:c r="O399" s="17"/>
    </x:row>
    <x:row r="400" ht="15" hidden="0" customHeight="1">
      <x:c r="A400" s="7"/>
      <x:c r="B400" s="7"/>
      <x:c r="C400" s="7"/>
      <x:c r="D400" s="8"/>
      <x:c r="E400" s="7"/>
      <x:c r="F400" s="7"/>
      <x:c r="G400" s="7"/>
      <x:c r="H400" s="7"/>
      <x:c r="I400" s="7"/>
      <x:c r="J400" s="9"/>
      <x:c r="K400" s="10"/>
      <x:c r="L400" s="7"/>
      <x:c r="M400" s="8"/>
      <x:c r="N400" s="17"/>
      <x:c r="O400" s="17"/>
    </x:row>
    <x:row r="401" ht="15" hidden="0" customHeight="1">
      <x:c r="A401" s="7"/>
      <x:c r="B401" s="7"/>
      <x:c r="C401" s="7"/>
      <x:c r="D401" s="8"/>
      <x:c r="E401" s="7"/>
      <x:c r="F401" s="7"/>
      <x:c r="G401" s="7"/>
      <x:c r="H401" s="7"/>
      <x:c r="I401" s="7"/>
      <x:c r="J401" s="9"/>
      <x:c r="K401" s="10"/>
      <x:c r="L401" s="7"/>
      <x:c r="M401" s="8"/>
      <x:c r="N401" s="17"/>
      <x:c r="O401" s="17"/>
    </x:row>
    <x:row r="402" ht="15" hidden="0" customHeight="1">
      <x:c r="A402" s="7"/>
      <x:c r="B402" s="7"/>
      <x:c r="C402" s="7"/>
      <x:c r="D402" s="8"/>
      <x:c r="E402" s="7"/>
      <x:c r="F402" s="7"/>
      <x:c r="G402" s="7"/>
      <x:c r="H402" s="7"/>
      <x:c r="I402" s="7"/>
      <x:c r="J402" s="9"/>
      <x:c r="K402" s="10"/>
      <x:c r="L402" s="7"/>
      <x:c r="M402" s="8"/>
      <x:c r="N402" s="17"/>
      <x:c r="O402" s="17"/>
    </x:row>
    <x:row r="403" ht="15" hidden="0" customHeight="1">
      <x:c r="A403" s="7"/>
      <x:c r="B403" s="7"/>
      <x:c r="C403" s="7"/>
      <x:c r="D403" s="8"/>
      <x:c r="E403" s="7"/>
      <x:c r="F403" s="7"/>
      <x:c r="G403" s="7"/>
      <x:c r="H403" s="7"/>
      <x:c r="I403" s="7"/>
      <x:c r="J403" s="9"/>
      <x:c r="K403" s="10"/>
      <x:c r="L403" s="7"/>
      <x:c r="M403" s="8"/>
      <x:c r="N403" s="17"/>
      <x:c r="O403" s="17"/>
    </x:row>
    <x:row r="404" ht="15" hidden="0" customHeight="1">
      <x:c r="A404" s="7"/>
      <x:c r="B404" s="7"/>
      <x:c r="C404" s="7"/>
      <x:c r="D404" s="8"/>
      <x:c r="E404" s="7"/>
      <x:c r="F404" s="7"/>
      <x:c r="G404" s="7"/>
      <x:c r="H404" s="7"/>
      <x:c r="I404" s="7"/>
      <x:c r="J404" s="9"/>
      <x:c r="K404" s="10"/>
      <x:c r="L404" s="7"/>
      <x:c r="M404" s="8"/>
      <x:c r="N404" s="17"/>
      <x:c r="O404" s="17"/>
    </x:row>
    <x:row r="405" ht="15" hidden="0" customHeight="1">
      <x:c r="A405" s="7"/>
      <x:c r="B405" s="7"/>
      <x:c r="C405" s="7"/>
      <x:c r="D405" s="8"/>
      <x:c r="E405" s="7"/>
      <x:c r="F405" s="7"/>
      <x:c r="G405" s="7"/>
      <x:c r="H405" s="7"/>
      <x:c r="I405" s="7"/>
      <x:c r="J405" s="9"/>
      <x:c r="K405" s="10"/>
      <x:c r="L405" s="7"/>
      <x:c r="M405" s="8"/>
      <x:c r="N405" s="17"/>
      <x:c r="O405" s="17"/>
    </x:row>
    <x:row r="406" ht="15" hidden="0" customHeight="1">
      <x:c r="A406" s="7"/>
      <x:c r="B406" s="7"/>
      <x:c r="C406" s="7"/>
      <x:c r="D406" s="8"/>
      <x:c r="E406" s="7"/>
      <x:c r="F406" s="7"/>
      <x:c r="G406" s="7"/>
      <x:c r="H406" s="7"/>
      <x:c r="I406" s="7"/>
      <x:c r="J406" s="9"/>
      <x:c r="K406" s="10"/>
      <x:c r="L406" s="7"/>
      <x:c r="M406" s="8"/>
      <x:c r="N406" s="17"/>
      <x:c r="O406" s="17"/>
    </x:row>
    <x:row r="407" ht="15" hidden="0" customHeight="1">
      <x:c r="A407" s="7"/>
      <x:c r="B407" s="7"/>
      <x:c r="C407" s="7"/>
      <x:c r="D407" s="8"/>
      <x:c r="E407" s="7"/>
      <x:c r="F407" s="7"/>
      <x:c r="G407" s="7"/>
      <x:c r="H407" s="7"/>
      <x:c r="I407" s="7"/>
      <x:c r="J407" s="9"/>
      <x:c r="K407" s="10"/>
      <x:c r="L407" s="7"/>
      <x:c r="M407" s="8"/>
      <x:c r="N407" s="17"/>
      <x:c r="O407" s="17"/>
    </x:row>
    <x:row r="408" ht="15" hidden="0" customHeight="1">
      <x:c r="A408" s="7"/>
      <x:c r="B408" s="7"/>
      <x:c r="C408" s="7"/>
      <x:c r="D408" s="8"/>
      <x:c r="E408" s="7"/>
      <x:c r="F408" s="7"/>
      <x:c r="G408" s="7"/>
      <x:c r="H408" s="7"/>
      <x:c r="I408" s="7"/>
      <x:c r="J408" s="9"/>
      <x:c r="K408" s="10"/>
      <x:c r="L408" s="7"/>
      <x:c r="M408" s="8"/>
      <x:c r="N408" s="17"/>
      <x:c r="O408" s="17"/>
    </x:row>
    <x:row r="409" ht="15" hidden="0" customHeight="1">
      <x:c r="A409" s="7"/>
      <x:c r="B409" s="7"/>
      <x:c r="C409" s="7"/>
      <x:c r="D409" s="8"/>
      <x:c r="E409" s="7"/>
      <x:c r="F409" s="7"/>
      <x:c r="G409" s="7"/>
      <x:c r="H409" s="7"/>
      <x:c r="I409" s="7"/>
      <x:c r="J409" s="9"/>
      <x:c r="K409" s="10"/>
      <x:c r="L409" s="7"/>
      <x:c r="M409" s="8"/>
      <x:c r="N409" s="17"/>
      <x:c r="O409" s="17"/>
    </x:row>
    <x:row r="410" ht="15" hidden="0" customHeight="1">
      <x:c r="A410" s="7"/>
      <x:c r="B410" s="7"/>
      <x:c r="C410" s="7"/>
      <x:c r="D410" s="8"/>
      <x:c r="E410" s="7"/>
      <x:c r="F410" s="7"/>
      <x:c r="G410" s="7"/>
      <x:c r="H410" s="7"/>
      <x:c r="I410" s="7"/>
      <x:c r="J410" s="9"/>
      <x:c r="K410" s="10"/>
      <x:c r="L410" s="7"/>
      <x:c r="M410" s="8"/>
      <x:c r="N410" s="17"/>
      <x:c r="O410" s="17"/>
    </x:row>
    <x:row r="411" ht="15" hidden="0" customHeight="1">
      <x:c r="A411" s="7"/>
      <x:c r="B411" s="7"/>
      <x:c r="C411" s="7"/>
      <x:c r="D411" s="8"/>
      <x:c r="E411" s="7"/>
      <x:c r="F411" s="7"/>
      <x:c r="G411" s="7"/>
      <x:c r="H411" s="7"/>
      <x:c r="I411" s="7"/>
      <x:c r="J411" s="9"/>
      <x:c r="K411" s="10"/>
      <x:c r="L411" s="7"/>
      <x:c r="M411" s="8"/>
      <x:c r="N411" s="17"/>
      <x:c r="O411" s="17"/>
    </x:row>
    <x:row r="412" ht="15" hidden="0" customHeight="1">
      <x:c r="A412" s="7"/>
      <x:c r="B412" s="7"/>
      <x:c r="C412" s="7"/>
      <x:c r="D412" s="8"/>
      <x:c r="E412" s="7"/>
      <x:c r="F412" s="7"/>
      <x:c r="G412" s="7"/>
      <x:c r="H412" s="7"/>
      <x:c r="I412" s="7"/>
      <x:c r="J412" s="9"/>
      <x:c r="K412" s="10"/>
      <x:c r="L412" s="7"/>
      <x:c r="M412" s="8"/>
      <x:c r="N412" s="17"/>
      <x:c r="O412" s="17"/>
    </x:row>
    <x:row r="413" ht="15" hidden="0" customHeight="1">
      <x:c r="A413" s="7"/>
      <x:c r="B413" s="7"/>
      <x:c r="C413" s="7"/>
      <x:c r="D413" s="8"/>
      <x:c r="E413" s="7"/>
      <x:c r="F413" s="7"/>
      <x:c r="G413" s="7"/>
      <x:c r="H413" s="7"/>
      <x:c r="I413" s="7"/>
      <x:c r="J413" s="9"/>
      <x:c r="K413" s="10"/>
      <x:c r="L413" s="7"/>
      <x:c r="M413" s="8"/>
      <x:c r="N413" s="17"/>
      <x:c r="O413" s="17"/>
    </x:row>
    <x:row r="414" ht="15" hidden="0" customHeight="1">
      <x:c r="A414" s="7"/>
      <x:c r="B414" s="7"/>
      <x:c r="C414" s="7"/>
      <x:c r="D414" s="8"/>
      <x:c r="E414" s="7"/>
      <x:c r="F414" s="7"/>
      <x:c r="G414" s="7"/>
      <x:c r="H414" s="7"/>
      <x:c r="I414" s="7"/>
      <x:c r="J414" s="9"/>
      <x:c r="K414" s="10"/>
      <x:c r="L414" s="7"/>
      <x:c r="M414" s="8"/>
      <x:c r="N414" s="17"/>
      <x:c r="O414" s="17"/>
    </x:row>
    <x:row r="415" ht="15" hidden="0" customHeight="1">
      <x:c r="A415" s="7"/>
      <x:c r="B415" s="7"/>
      <x:c r="C415" s="7"/>
      <x:c r="D415" s="8"/>
      <x:c r="E415" s="7"/>
      <x:c r="F415" s="7"/>
      <x:c r="G415" s="7"/>
      <x:c r="H415" s="7"/>
      <x:c r="I415" s="7"/>
      <x:c r="J415" s="9"/>
      <x:c r="K415" s="10"/>
      <x:c r="L415" s="7"/>
      <x:c r="M415" s="8"/>
      <x:c r="N415" s="17"/>
      <x:c r="O415" s="17"/>
    </x:row>
    <x:row r="416" ht="15" hidden="0" customHeight="1">
      <x:c r="A416" s="7"/>
      <x:c r="B416" s="7"/>
      <x:c r="C416" s="7"/>
      <x:c r="D416" s="8"/>
      <x:c r="E416" s="7"/>
      <x:c r="F416" s="7"/>
      <x:c r="G416" s="7"/>
      <x:c r="H416" s="7"/>
      <x:c r="I416" s="7"/>
      <x:c r="J416" s="9"/>
      <x:c r="K416" s="10"/>
      <x:c r="L416" s="7"/>
      <x:c r="M416" s="8"/>
      <x:c r="N416" s="17"/>
      <x:c r="O416" s="17"/>
    </x:row>
    <x:row r="417" ht="15" hidden="0" customHeight="1">
      <x:c r="A417" s="7"/>
      <x:c r="B417" s="7"/>
      <x:c r="C417" s="7"/>
      <x:c r="D417" s="8"/>
      <x:c r="E417" s="7"/>
      <x:c r="F417" s="7"/>
      <x:c r="G417" s="7"/>
      <x:c r="H417" s="7"/>
      <x:c r="I417" s="7"/>
      <x:c r="J417" s="9"/>
      <x:c r="K417" s="10"/>
      <x:c r="L417" s="7"/>
      <x:c r="M417" s="8"/>
      <x:c r="N417" s="17"/>
      <x:c r="O417" s="17"/>
    </x:row>
    <x:row r="418" ht="15" hidden="0" customHeight="1">
      <x:c r="A418" s="7"/>
      <x:c r="B418" s="7"/>
      <x:c r="C418" s="7"/>
      <x:c r="D418" s="8"/>
      <x:c r="E418" s="7"/>
      <x:c r="F418" s="7"/>
      <x:c r="G418" s="7"/>
      <x:c r="H418" s="7"/>
      <x:c r="I418" s="7"/>
      <x:c r="J418" s="9"/>
      <x:c r="K418" s="10"/>
      <x:c r="L418" s="7"/>
      <x:c r="M418" s="8"/>
      <x:c r="N418" s="17"/>
      <x:c r="O418" s="17"/>
    </x:row>
    <x:row r="419" ht="15" hidden="0" customHeight="1">
      <x:c r="A419" s="7"/>
      <x:c r="B419" s="7"/>
      <x:c r="C419" s="7"/>
      <x:c r="D419" s="8"/>
      <x:c r="E419" s="7"/>
      <x:c r="F419" s="7"/>
      <x:c r="G419" s="7"/>
      <x:c r="H419" s="7"/>
      <x:c r="I419" s="7"/>
      <x:c r="J419" s="9"/>
      <x:c r="K419" s="10"/>
      <x:c r="L419" s="7"/>
      <x:c r="M419" s="8"/>
      <x:c r="N419" s="17"/>
      <x:c r="O419" s="17"/>
    </x:row>
    <x:row r="420" ht="15" hidden="0" customHeight="1">
      <x:c r="A420" s="7"/>
      <x:c r="B420" s="7"/>
      <x:c r="C420" s="7"/>
      <x:c r="D420" s="8"/>
      <x:c r="E420" s="7"/>
      <x:c r="F420" s="7"/>
      <x:c r="G420" s="7"/>
      <x:c r="H420" s="7"/>
      <x:c r="I420" s="7"/>
      <x:c r="J420" s="9"/>
      <x:c r="K420" s="10"/>
      <x:c r="L420" s="7"/>
      <x:c r="M420" s="8"/>
      <x:c r="N420" s="17"/>
      <x:c r="O420" s="17"/>
    </x:row>
    <x:row r="421" ht="15" hidden="0" customHeight="1">
      <x:c r="A421" s="7"/>
      <x:c r="B421" s="7"/>
      <x:c r="C421" s="7"/>
      <x:c r="D421" s="8"/>
      <x:c r="E421" s="7"/>
      <x:c r="F421" s="7"/>
      <x:c r="G421" s="7"/>
      <x:c r="H421" s="7"/>
      <x:c r="I421" s="7"/>
      <x:c r="J421" s="9"/>
      <x:c r="K421" s="10"/>
      <x:c r="L421" s="7"/>
      <x:c r="M421" s="8"/>
      <x:c r="N421" s="17"/>
      <x:c r="O421" s="17"/>
    </x:row>
    <x:row r="422" ht="15" hidden="0" customHeight="1">
      <x:c r="A422" s="7"/>
      <x:c r="B422" s="7"/>
      <x:c r="C422" s="7"/>
      <x:c r="D422" s="8"/>
      <x:c r="E422" s="7"/>
      <x:c r="F422" s="7"/>
      <x:c r="G422" s="7"/>
      <x:c r="H422" s="7"/>
      <x:c r="I422" s="7"/>
      <x:c r="J422" s="9"/>
      <x:c r="K422" s="10"/>
      <x:c r="L422" s="7"/>
      <x:c r="M422" s="8"/>
      <x:c r="N422" s="17"/>
      <x:c r="O422" s="17"/>
    </x:row>
    <x:row r="423" ht="15" hidden="0" customHeight="1">
      <x:c r="A423" s="7"/>
      <x:c r="B423" s="7"/>
      <x:c r="C423" s="7"/>
      <x:c r="D423" s="8"/>
      <x:c r="E423" s="7"/>
      <x:c r="F423" s="7"/>
      <x:c r="G423" s="7"/>
      <x:c r="H423" s="7"/>
      <x:c r="I423" s="7"/>
      <x:c r="J423" s="9"/>
      <x:c r="K423" s="10"/>
      <x:c r="L423" s="7"/>
      <x:c r="M423" s="8"/>
      <x:c r="N423" s="17"/>
      <x:c r="O423" s="17"/>
    </x:row>
    <x:row r="424" ht="15" hidden="0" customHeight="1">
      <x:c r="A424" s="7"/>
      <x:c r="B424" s="7"/>
      <x:c r="C424" s="7"/>
      <x:c r="D424" s="8"/>
      <x:c r="E424" s="7"/>
      <x:c r="F424" s="7"/>
      <x:c r="G424" s="7"/>
      <x:c r="H424" s="7"/>
      <x:c r="I424" s="7"/>
      <x:c r="J424" s="9"/>
      <x:c r="K424" s="10"/>
      <x:c r="L424" s="7"/>
      <x:c r="M424" s="8"/>
      <x:c r="N424" s="17"/>
      <x:c r="O424" s="17"/>
    </x:row>
    <x:row r="425" ht="15" hidden="0" customHeight="1">
      <x:c r="A425" s="7"/>
      <x:c r="B425" s="7"/>
      <x:c r="C425" s="7"/>
      <x:c r="D425" s="8"/>
      <x:c r="E425" s="7"/>
      <x:c r="F425" s="7"/>
      <x:c r="G425" s="7"/>
      <x:c r="H425" s="7"/>
      <x:c r="I425" s="7"/>
      <x:c r="J425" s="9"/>
      <x:c r="K425" s="10"/>
      <x:c r="L425" s="7"/>
      <x:c r="M425" s="8"/>
      <x:c r="N425" s="17"/>
      <x:c r="O425" s="17"/>
    </x:row>
    <x:row r="426" ht="15" hidden="0" customHeight="1">
      <x:c r="A426" s="7"/>
      <x:c r="B426" s="7"/>
      <x:c r="C426" s="7"/>
      <x:c r="D426" s="8"/>
      <x:c r="E426" s="7"/>
      <x:c r="F426" s="7"/>
      <x:c r="G426" s="7"/>
      <x:c r="H426" s="7"/>
      <x:c r="I426" s="7"/>
      <x:c r="J426" s="9"/>
      <x:c r="K426" s="10"/>
      <x:c r="L426" s="7"/>
      <x:c r="M426" s="8"/>
      <x:c r="N426" s="17"/>
      <x:c r="O426" s="17"/>
    </x:row>
    <x:row r="427" ht="15" hidden="0" customHeight="1">
      <x:c r="A427" s="7"/>
      <x:c r="B427" s="7"/>
      <x:c r="C427" s="7"/>
      <x:c r="D427" s="8"/>
      <x:c r="E427" s="7"/>
      <x:c r="F427" s="7"/>
      <x:c r="G427" s="7"/>
      <x:c r="H427" s="7"/>
      <x:c r="I427" s="7"/>
      <x:c r="J427" s="9"/>
      <x:c r="K427" s="10"/>
      <x:c r="L427" s="7"/>
      <x:c r="M427" s="8"/>
      <x:c r="N427" s="17"/>
      <x:c r="O427" s="17"/>
    </x:row>
    <x:row r="428" ht="15" hidden="0" customHeight="1">
      <x:c r="A428" s="7"/>
      <x:c r="B428" s="7"/>
      <x:c r="C428" s="7"/>
      <x:c r="D428" s="8"/>
      <x:c r="E428" s="7"/>
      <x:c r="F428" s="7"/>
      <x:c r="G428" s="7"/>
      <x:c r="H428" s="7"/>
      <x:c r="I428" s="7"/>
      <x:c r="J428" s="9"/>
      <x:c r="K428" s="10"/>
      <x:c r="L428" s="7"/>
      <x:c r="M428" s="8"/>
      <x:c r="N428" s="17"/>
      <x:c r="O428" s="17"/>
    </x:row>
    <x:row r="429" ht="15" hidden="0" customHeight="1">
      <x:c r="A429" s="7"/>
      <x:c r="B429" s="7"/>
      <x:c r="C429" s="7"/>
      <x:c r="D429" s="8"/>
      <x:c r="E429" s="7"/>
      <x:c r="F429" s="7"/>
      <x:c r="G429" s="7"/>
      <x:c r="H429" s="7"/>
      <x:c r="I429" s="7"/>
      <x:c r="J429" s="9"/>
      <x:c r="K429" s="10"/>
      <x:c r="L429" s="7"/>
      <x:c r="M429" s="8"/>
      <x:c r="N429" s="17"/>
      <x:c r="O429" s="17"/>
    </x:row>
    <x:row r="430" ht="15" hidden="0" customHeight="1">
      <x:c r="A430" s="7"/>
      <x:c r="B430" s="7"/>
      <x:c r="C430" s="7"/>
      <x:c r="D430" s="8"/>
      <x:c r="E430" s="7"/>
      <x:c r="F430" s="7"/>
      <x:c r="G430" s="7"/>
      <x:c r="H430" s="7"/>
      <x:c r="I430" s="7"/>
      <x:c r="J430" s="9"/>
      <x:c r="K430" s="10"/>
      <x:c r="L430" s="7"/>
      <x:c r="M430" s="8"/>
      <x:c r="N430" s="17"/>
      <x:c r="O430" s="17"/>
    </x:row>
    <x:row r="431" ht="15" hidden="0" customHeight="1">
      <x:c r="A431" s="7"/>
      <x:c r="B431" s="7"/>
      <x:c r="C431" s="7"/>
      <x:c r="D431" s="8"/>
      <x:c r="E431" s="7"/>
      <x:c r="F431" s="7"/>
      <x:c r="G431" s="7"/>
      <x:c r="H431" s="7"/>
      <x:c r="I431" s="7"/>
      <x:c r="J431" s="9"/>
      <x:c r="K431" s="10"/>
      <x:c r="L431" s="7"/>
      <x:c r="M431" s="8"/>
      <x:c r="N431" s="17"/>
      <x:c r="O431" s="17"/>
    </x:row>
    <x:row r="432" ht="15" hidden="0" customHeight="1">
      <x:c r="A432" s="7"/>
      <x:c r="B432" s="7"/>
      <x:c r="C432" s="7"/>
      <x:c r="D432" s="8"/>
      <x:c r="E432" s="7"/>
      <x:c r="F432" s="7"/>
      <x:c r="G432" s="7"/>
      <x:c r="H432" s="7"/>
      <x:c r="I432" s="7"/>
      <x:c r="J432" s="9"/>
      <x:c r="K432" s="10"/>
      <x:c r="L432" s="7"/>
      <x:c r="M432" s="8"/>
      <x:c r="N432" s="17"/>
      <x:c r="O432" s="17"/>
    </x:row>
    <x:row r="433" ht="15" hidden="0" customHeight="1">
      <x:c r="A433" s="7"/>
      <x:c r="B433" s="7"/>
      <x:c r="C433" s="7"/>
      <x:c r="D433" s="8"/>
      <x:c r="E433" s="7"/>
      <x:c r="F433" s="7"/>
      <x:c r="G433" s="7"/>
      <x:c r="H433" s="7"/>
      <x:c r="I433" s="7"/>
      <x:c r="J433" s="9"/>
      <x:c r="K433" s="10"/>
      <x:c r="L433" s="7"/>
      <x:c r="M433" s="8"/>
      <x:c r="N433" s="17"/>
      <x:c r="O433" s="17"/>
    </x:row>
    <x:row r="434" ht="15" hidden="0" customHeight="1">
      <x:c r="A434" s="7"/>
      <x:c r="B434" s="7"/>
      <x:c r="C434" s="7"/>
      <x:c r="D434" s="8"/>
      <x:c r="E434" s="7"/>
      <x:c r="F434" s="7"/>
      <x:c r="G434" s="7"/>
      <x:c r="H434" s="7"/>
      <x:c r="I434" s="7"/>
      <x:c r="J434" s="9"/>
      <x:c r="K434" s="10"/>
      <x:c r="L434" s="7"/>
      <x:c r="M434" s="8"/>
      <x:c r="N434" s="17"/>
      <x:c r="O434" s="17"/>
    </x:row>
    <x:row r="435" ht="15" hidden="0" customHeight="1">
      <x:c r="A435" s="7"/>
      <x:c r="B435" s="7"/>
      <x:c r="C435" s="7"/>
      <x:c r="D435" s="8"/>
      <x:c r="E435" s="7"/>
      <x:c r="F435" s="7"/>
      <x:c r="G435" s="7"/>
      <x:c r="H435" s="7"/>
      <x:c r="I435" s="7"/>
      <x:c r="J435" s="9"/>
      <x:c r="K435" s="10"/>
      <x:c r="L435" s="7"/>
      <x:c r="M435" s="8"/>
      <x:c r="N435" s="17"/>
      <x:c r="O435" s="17"/>
    </x:row>
    <x:row r="436" ht="15" hidden="0" customHeight="1">
      <x:c r="A436" s="7"/>
      <x:c r="B436" s="7"/>
      <x:c r="C436" s="7"/>
      <x:c r="D436" s="8"/>
      <x:c r="E436" s="7"/>
      <x:c r="F436" s="7"/>
      <x:c r="G436" s="7"/>
      <x:c r="H436" s="7"/>
      <x:c r="I436" s="7"/>
      <x:c r="J436" s="9"/>
      <x:c r="K436" s="10"/>
      <x:c r="L436" s="7"/>
      <x:c r="M436" s="8"/>
      <x:c r="N436" s="17"/>
      <x:c r="O436" s="17"/>
    </x:row>
    <x:row r="437" ht="15" hidden="0" customHeight="1">
      <x:c r="A437" s="7"/>
      <x:c r="B437" s="7"/>
      <x:c r="C437" s="7"/>
      <x:c r="D437" s="8"/>
      <x:c r="E437" s="7"/>
      <x:c r="F437" s="7"/>
      <x:c r="G437" s="7"/>
      <x:c r="H437" s="7"/>
      <x:c r="I437" s="7"/>
      <x:c r="J437" s="9"/>
      <x:c r="K437" s="10"/>
      <x:c r="L437" s="7"/>
      <x:c r="M437" s="8"/>
      <x:c r="N437" s="17"/>
      <x:c r="O437" s="17"/>
    </x:row>
    <x:row r="438" ht="15" hidden="0" customHeight="1">
      <x:c r="A438" s="7"/>
      <x:c r="B438" s="7"/>
      <x:c r="C438" s="7"/>
      <x:c r="D438" s="8"/>
      <x:c r="E438" s="7"/>
      <x:c r="F438" s="7"/>
      <x:c r="G438" s="7"/>
      <x:c r="H438" s="7"/>
      <x:c r="I438" s="7"/>
      <x:c r="J438" s="9"/>
      <x:c r="K438" s="10"/>
      <x:c r="L438" s="7"/>
      <x:c r="M438" s="8"/>
      <x:c r="N438" s="17"/>
      <x:c r="O438" s="17"/>
    </x:row>
    <x:row r="439" ht="15" hidden="0" customHeight="1">
      <x:c r="A439" s="7"/>
      <x:c r="B439" s="7"/>
      <x:c r="C439" s="7"/>
      <x:c r="D439" s="8"/>
      <x:c r="E439" s="7"/>
      <x:c r="F439" s="7"/>
      <x:c r="G439" s="7"/>
      <x:c r="H439" s="7"/>
      <x:c r="I439" s="7"/>
      <x:c r="J439" s="9"/>
      <x:c r="K439" s="10"/>
      <x:c r="L439" s="7"/>
      <x:c r="M439" s="8"/>
      <x:c r="N439" s="17"/>
      <x:c r="O439" s="17"/>
    </x:row>
    <x:row r="440" ht="15" hidden="0" customHeight="1">
      <x:c r="A440" s="7"/>
      <x:c r="B440" s="7"/>
      <x:c r="C440" s="7"/>
      <x:c r="D440" s="8"/>
      <x:c r="E440" s="7"/>
      <x:c r="F440" s="7"/>
      <x:c r="G440" s="7"/>
      <x:c r="H440" s="7"/>
      <x:c r="I440" s="7"/>
      <x:c r="J440" s="9"/>
      <x:c r="K440" s="10"/>
      <x:c r="L440" s="7"/>
      <x:c r="M440" s="8"/>
      <x:c r="N440" s="17"/>
      <x:c r="O440" s="17"/>
    </x:row>
    <x:row r="441" ht="15" hidden="0" customHeight="1">
      <x:c r="A441" s="7"/>
      <x:c r="B441" s="7"/>
      <x:c r="C441" s="7"/>
      <x:c r="D441" s="8"/>
      <x:c r="E441" s="7"/>
      <x:c r="F441" s="7"/>
      <x:c r="G441" s="7"/>
      <x:c r="H441" s="7"/>
      <x:c r="I441" s="7"/>
      <x:c r="J441" s="9"/>
      <x:c r="K441" s="10"/>
      <x:c r="L441" s="7"/>
      <x:c r="M441" s="8"/>
      <x:c r="N441" s="17"/>
      <x:c r="O441" s="17"/>
    </x:row>
    <x:row r="442" ht="15" hidden="0" customHeight="1">
      <x:c r="A442" s="7"/>
      <x:c r="B442" s="7"/>
      <x:c r="C442" s="7"/>
      <x:c r="D442" s="8"/>
      <x:c r="E442" s="7"/>
      <x:c r="F442" s="7"/>
      <x:c r="G442" s="7"/>
      <x:c r="H442" s="7"/>
      <x:c r="I442" s="7"/>
      <x:c r="J442" s="9"/>
      <x:c r="K442" s="10"/>
      <x:c r="L442" s="7"/>
      <x:c r="M442" s="8"/>
      <x:c r="N442" s="17"/>
      <x:c r="O442" s="17"/>
    </x:row>
    <x:row r="443" ht="15" hidden="0" customHeight="1">
      <x:c r="A443" s="7"/>
      <x:c r="B443" s="7"/>
      <x:c r="C443" s="7"/>
      <x:c r="D443" s="8"/>
      <x:c r="E443" s="7"/>
      <x:c r="F443" s="7"/>
      <x:c r="G443" s="7"/>
      <x:c r="H443" s="7"/>
      <x:c r="I443" s="7"/>
      <x:c r="J443" s="9"/>
      <x:c r="K443" s="10"/>
      <x:c r="L443" s="7"/>
      <x:c r="M443" s="8"/>
      <x:c r="N443" s="17"/>
      <x:c r="O443" s="17"/>
    </x:row>
    <x:row r="444" ht="15" hidden="0" customHeight="1">
      <x:c r="A444" s="7"/>
      <x:c r="B444" s="7"/>
      <x:c r="C444" s="7"/>
      <x:c r="D444" s="8"/>
      <x:c r="E444" s="7"/>
      <x:c r="F444" s="7"/>
      <x:c r="G444" s="7"/>
      <x:c r="H444" s="7"/>
      <x:c r="I444" s="7"/>
      <x:c r="J444" s="9"/>
      <x:c r="K444" s="10"/>
      <x:c r="L444" s="7"/>
      <x:c r="M444" s="8"/>
      <x:c r="N444" s="17"/>
      <x:c r="O444" s="17"/>
    </x:row>
    <x:row r="445" ht="15" hidden="0" customHeight="1">
      <x:c r="A445" s="7"/>
      <x:c r="B445" s="7"/>
      <x:c r="C445" s="7"/>
      <x:c r="D445" s="8"/>
      <x:c r="E445" s="7"/>
      <x:c r="F445" s="7"/>
      <x:c r="G445" s="7"/>
      <x:c r="H445" s="7"/>
      <x:c r="I445" s="7"/>
      <x:c r="J445" s="9"/>
      <x:c r="K445" s="10"/>
      <x:c r="L445" s="7"/>
      <x:c r="M445" s="8"/>
      <x:c r="N445" s="17"/>
      <x:c r="O445" s="17"/>
    </x:row>
    <x:row r="446" ht="15" hidden="0" customHeight="1">
      <x:c r="A446" s="7"/>
      <x:c r="B446" s="7"/>
      <x:c r="C446" s="7"/>
      <x:c r="D446" s="8"/>
      <x:c r="E446" s="7"/>
      <x:c r="F446" s="7"/>
      <x:c r="G446" s="7"/>
      <x:c r="H446" s="7"/>
      <x:c r="I446" s="7"/>
      <x:c r="J446" s="9"/>
      <x:c r="K446" s="10"/>
      <x:c r="L446" s="7"/>
      <x:c r="M446" s="8"/>
      <x:c r="N446" s="17"/>
      <x:c r="O446" s="17"/>
    </x:row>
    <x:row r="447" ht="15" hidden="0" customHeight="1">
      <x:c r="A447" s="7"/>
      <x:c r="B447" s="7"/>
      <x:c r="C447" s="7"/>
      <x:c r="D447" s="8"/>
      <x:c r="E447" s="7"/>
      <x:c r="F447" s="7"/>
      <x:c r="G447" s="7"/>
      <x:c r="H447" s="7"/>
      <x:c r="I447" s="7"/>
      <x:c r="J447" s="9"/>
      <x:c r="K447" s="10"/>
      <x:c r="L447" s="7"/>
      <x:c r="M447" s="8"/>
      <x:c r="N447" s="17"/>
      <x:c r="O447" s="17"/>
    </x:row>
    <x:row r="448" ht="15" hidden="0" customHeight="1">
      <x:c r="A448" s="7"/>
      <x:c r="B448" s="7"/>
      <x:c r="C448" s="7"/>
      <x:c r="D448" s="8"/>
      <x:c r="E448" s="7"/>
      <x:c r="F448" s="7"/>
      <x:c r="G448" s="7"/>
      <x:c r="H448" s="7"/>
      <x:c r="I448" s="7"/>
      <x:c r="J448" s="9"/>
      <x:c r="K448" s="10"/>
      <x:c r="L448" s="7"/>
      <x:c r="M448" s="8"/>
      <x:c r="N448" s="17"/>
      <x:c r="O448" s="17"/>
    </x:row>
    <x:row r="449" ht="15" hidden="0" customHeight="1">
      <x:c r="A449" s="7"/>
      <x:c r="B449" s="7"/>
      <x:c r="C449" s="7"/>
      <x:c r="D449" s="8"/>
      <x:c r="E449" s="7"/>
      <x:c r="F449" s="7"/>
      <x:c r="G449" s="7"/>
      <x:c r="H449" s="7"/>
      <x:c r="I449" s="7"/>
      <x:c r="J449" s="9"/>
      <x:c r="K449" s="10"/>
      <x:c r="L449" s="7"/>
      <x:c r="M449" s="8"/>
      <x:c r="N449" s="17"/>
      <x:c r="O449" s="17"/>
    </x:row>
    <x:row r="450" ht="15" hidden="0" customHeight="1">
      <x:c r="A450" s="7"/>
      <x:c r="B450" s="7"/>
      <x:c r="C450" s="7"/>
      <x:c r="D450" s="8"/>
      <x:c r="E450" s="7"/>
      <x:c r="F450" s="7"/>
      <x:c r="G450" s="7"/>
      <x:c r="H450" s="7"/>
      <x:c r="I450" s="7"/>
      <x:c r="J450" s="9"/>
      <x:c r="K450" s="10"/>
      <x:c r="L450" s="7"/>
      <x:c r="M450" s="8"/>
      <x:c r="N450" s="17"/>
      <x:c r="O450" s="17"/>
    </x:row>
    <x:row r="451" ht="15" hidden="0" customHeight="1">
      <x:c r="A451" s="7"/>
      <x:c r="B451" s="7"/>
      <x:c r="C451" s="7"/>
      <x:c r="D451" s="8"/>
      <x:c r="E451" s="7"/>
      <x:c r="F451" s="7"/>
      <x:c r="G451" s="7"/>
      <x:c r="H451" s="7"/>
      <x:c r="I451" s="7"/>
      <x:c r="J451" s="9"/>
      <x:c r="K451" s="10"/>
      <x:c r="L451" s="7"/>
      <x:c r="M451" s="8"/>
      <x:c r="N451" s="17"/>
      <x:c r="O451" s="17"/>
    </x:row>
    <x:row r="452" ht="15" hidden="0" customHeight="1">
      <x:c r="A452" s="7"/>
      <x:c r="B452" s="7"/>
      <x:c r="C452" s="7"/>
      <x:c r="D452" s="8"/>
      <x:c r="E452" s="7"/>
      <x:c r="F452" s="7"/>
      <x:c r="G452" s="7"/>
      <x:c r="H452" s="7"/>
      <x:c r="I452" s="7"/>
      <x:c r="J452" s="9"/>
      <x:c r="K452" s="10"/>
      <x:c r="L452" s="7"/>
      <x:c r="M452" s="8"/>
      <x:c r="N452" s="17"/>
      <x:c r="O452" s="17"/>
    </x:row>
    <x:row r="453" ht="15" hidden="0" customHeight="1">
      <x:c r="A453" s="7"/>
      <x:c r="B453" s="7"/>
      <x:c r="C453" s="7"/>
      <x:c r="D453" s="8"/>
      <x:c r="E453" s="7"/>
      <x:c r="F453" s="7"/>
      <x:c r="G453" s="7"/>
      <x:c r="H453" s="7"/>
      <x:c r="I453" s="7"/>
      <x:c r="J453" s="9"/>
      <x:c r="K453" s="10"/>
      <x:c r="L453" s="7"/>
      <x:c r="M453" s="8"/>
      <x:c r="N453" s="17"/>
      <x:c r="O453" s="17"/>
    </x:row>
    <x:row r="454" ht="15" hidden="0" customHeight="1">
      <x:c r="A454" s="7"/>
      <x:c r="B454" s="7"/>
      <x:c r="C454" s="7"/>
      <x:c r="D454" s="8"/>
      <x:c r="E454" s="7"/>
      <x:c r="F454" s="7"/>
      <x:c r="G454" s="7"/>
      <x:c r="H454" s="7"/>
      <x:c r="I454" s="7"/>
      <x:c r="J454" s="9"/>
      <x:c r="K454" s="10"/>
      <x:c r="L454" s="7"/>
      <x:c r="M454" s="8"/>
      <x:c r="N454" s="17"/>
      <x:c r="O454" s="17"/>
    </x:row>
    <x:row r="455" ht="15" hidden="0" customHeight="1">
      <x:c r="A455" s="7"/>
      <x:c r="B455" s="7"/>
      <x:c r="C455" s="7"/>
      <x:c r="D455" s="8"/>
      <x:c r="E455" s="7"/>
      <x:c r="F455" s="7"/>
      <x:c r="G455" s="7"/>
      <x:c r="H455" s="7"/>
      <x:c r="I455" s="7"/>
      <x:c r="J455" s="9"/>
      <x:c r="K455" s="10"/>
      <x:c r="L455" s="7"/>
      <x:c r="M455" s="8"/>
      <x:c r="N455" s="17"/>
      <x:c r="O455" s="17"/>
    </x:row>
    <x:row r="456" ht="15" hidden="0" customHeight="1">
      <x:c r="A456" s="7"/>
      <x:c r="B456" s="7"/>
      <x:c r="C456" s="7"/>
      <x:c r="D456" s="8"/>
      <x:c r="E456" s="7"/>
      <x:c r="F456" s="7"/>
      <x:c r="G456" s="7"/>
      <x:c r="H456" s="7"/>
      <x:c r="I456" s="7"/>
      <x:c r="J456" s="9"/>
      <x:c r="K456" s="10"/>
      <x:c r="L456" s="7"/>
      <x:c r="M456" s="8"/>
      <x:c r="N456" s="17"/>
      <x:c r="O456" s="17"/>
    </x:row>
    <x:row r="457" ht="15" hidden="0" customHeight="1">
      <x:c r="A457" s="7"/>
      <x:c r="B457" s="7"/>
      <x:c r="C457" s="7"/>
      <x:c r="D457" s="8"/>
      <x:c r="E457" s="7"/>
      <x:c r="F457" s="7"/>
      <x:c r="G457" s="7"/>
      <x:c r="H457" s="7"/>
      <x:c r="I457" s="7"/>
      <x:c r="J457" s="9"/>
      <x:c r="K457" s="10"/>
      <x:c r="L457" s="7"/>
      <x:c r="M457" s="8"/>
      <x:c r="N457" s="17"/>
      <x:c r="O457" s="17"/>
    </x:row>
    <x:row r="458" ht="15" hidden="0" customHeight="1">
      <x:c r="A458" s="7"/>
      <x:c r="B458" s="7"/>
      <x:c r="C458" s="7"/>
      <x:c r="D458" s="8"/>
      <x:c r="E458" s="7"/>
      <x:c r="F458" s="7"/>
      <x:c r="G458" s="7"/>
      <x:c r="H458" s="7"/>
      <x:c r="I458" s="7"/>
      <x:c r="J458" s="9"/>
      <x:c r="K458" s="10"/>
      <x:c r="L458" s="7"/>
      <x:c r="M458" s="8"/>
      <x:c r="N458" s="17"/>
      <x:c r="O458" s="17"/>
    </x:row>
    <x:row r="459" ht="15" hidden="0" customHeight="1">
      <x:c r="A459" s="7"/>
      <x:c r="B459" s="7"/>
      <x:c r="C459" s="7"/>
      <x:c r="D459" s="8"/>
      <x:c r="E459" s="7"/>
      <x:c r="F459" s="7"/>
      <x:c r="G459" s="7"/>
      <x:c r="H459" s="7"/>
      <x:c r="I459" s="7"/>
      <x:c r="J459" s="9"/>
      <x:c r="K459" s="10"/>
      <x:c r="L459" s="7"/>
      <x:c r="M459" s="8"/>
      <x:c r="N459" s="17"/>
      <x:c r="O459" s="17"/>
    </x:row>
    <x:row r="460" ht="15" hidden="0" customHeight="1">
      <x:c r="A460" s="7"/>
      <x:c r="B460" s="7"/>
      <x:c r="C460" s="7"/>
      <x:c r="D460" s="8"/>
      <x:c r="E460" s="7"/>
      <x:c r="F460" s="7"/>
      <x:c r="G460" s="7"/>
      <x:c r="H460" s="7"/>
      <x:c r="I460" s="7"/>
      <x:c r="J460" s="9"/>
      <x:c r="K460" s="10"/>
      <x:c r="L460" s="7"/>
      <x:c r="M460" s="8"/>
      <x:c r="N460" s="17"/>
      <x:c r="O460" s="17"/>
    </x:row>
    <x:row r="461" ht="15" hidden="0" customHeight="1">
      <x:c r="A461" s="7"/>
      <x:c r="B461" s="7"/>
      <x:c r="C461" s="7"/>
      <x:c r="D461" s="8"/>
      <x:c r="E461" s="7"/>
      <x:c r="F461" s="7"/>
      <x:c r="G461" s="7"/>
      <x:c r="H461" s="7"/>
      <x:c r="I461" s="7"/>
      <x:c r="J461" s="9"/>
      <x:c r="K461" s="10"/>
      <x:c r="L461" s="7"/>
      <x:c r="M461" s="8"/>
      <x:c r="N461" s="17"/>
      <x:c r="O461" s="17"/>
    </x:row>
    <x:row r="462" ht="15" hidden="0" customHeight="1">
      <x:c r="A462" s="7"/>
      <x:c r="B462" s="7"/>
      <x:c r="C462" s="7"/>
      <x:c r="D462" s="8"/>
      <x:c r="E462" s="7"/>
      <x:c r="F462" s="7"/>
      <x:c r="G462" s="7"/>
      <x:c r="H462" s="7"/>
      <x:c r="I462" s="7"/>
      <x:c r="J462" s="9"/>
      <x:c r="K462" s="10"/>
      <x:c r="L462" s="7"/>
      <x:c r="M462" s="8"/>
      <x:c r="N462" s="17"/>
      <x:c r="O462" s="17"/>
    </x:row>
    <x:row r="463" ht="15" hidden="0" customHeight="1">
      <x:c r="A463" s="7"/>
      <x:c r="B463" s="7"/>
      <x:c r="C463" s="7"/>
      <x:c r="D463" s="8"/>
      <x:c r="E463" s="7"/>
      <x:c r="F463" s="7"/>
      <x:c r="G463" s="7"/>
      <x:c r="H463" s="7"/>
      <x:c r="I463" s="7"/>
      <x:c r="J463" s="9"/>
      <x:c r="K463" s="10"/>
      <x:c r="L463" s="7"/>
      <x:c r="M463" s="8"/>
      <x:c r="N463" s="17"/>
      <x:c r="O463" s="17"/>
    </x:row>
    <x:row r="464" ht="15" hidden="0" customHeight="1">
      <x:c r="A464" s="7"/>
      <x:c r="B464" s="7"/>
      <x:c r="C464" s="7"/>
      <x:c r="D464" s="8"/>
      <x:c r="E464" s="7"/>
      <x:c r="F464" s="7"/>
      <x:c r="G464" s="7"/>
      <x:c r="H464" s="7"/>
      <x:c r="I464" s="7"/>
      <x:c r="J464" s="9"/>
      <x:c r="K464" s="10"/>
      <x:c r="L464" s="7"/>
      <x:c r="M464" s="8"/>
      <x:c r="N464" s="17"/>
      <x:c r="O464" s="17"/>
    </x:row>
    <x:row r="465" ht="15" hidden="0" customHeight="1">
      <x:c r="A465" s="7"/>
      <x:c r="B465" s="7"/>
      <x:c r="C465" s="7"/>
      <x:c r="D465" s="8"/>
      <x:c r="E465" s="7"/>
      <x:c r="F465" s="7"/>
      <x:c r="G465" s="7"/>
      <x:c r="H465" s="7"/>
      <x:c r="I465" s="7"/>
      <x:c r="J465" s="9"/>
      <x:c r="K465" s="10"/>
      <x:c r="L465" s="7"/>
      <x:c r="M465" s="8"/>
      <x:c r="N465" s="17"/>
      <x:c r="O465" s="17"/>
    </x:row>
    <x:row r="466" ht="15" hidden="0" customHeight="1">
      <x:c r="A466" s="7"/>
      <x:c r="B466" s="7"/>
      <x:c r="C466" s="7"/>
      <x:c r="D466" s="8"/>
      <x:c r="E466" s="7"/>
      <x:c r="F466" s="7"/>
      <x:c r="G466" s="7"/>
      <x:c r="H466" s="7"/>
      <x:c r="I466" s="7"/>
      <x:c r="J466" s="9"/>
      <x:c r="K466" s="10"/>
      <x:c r="L466" s="7"/>
      <x:c r="M466" s="8"/>
      <x:c r="N466" s="17"/>
      <x:c r="O466" s="17"/>
    </x:row>
    <x:row r="467" ht="15" hidden="0" customHeight="1">
      <x:c r="A467" s="7"/>
      <x:c r="B467" s="7"/>
      <x:c r="C467" s="7"/>
      <x:c r="D467" s="8"/>
      <x:c r="E467" s="7"/>
      <x:c r="F467" s="7"/>
      <x:c r="G467" s="7"/>
      <x:c r="H467" s="7"/>
      <x:c r="I467" s="7"/>
      <x:c r="J467" s="9"/>
      <x:c r="K467" s="10"/>
      <x:c r="L467" s="7"/>
      <x:c r="M467" s="8"/>
      <x:c r="N467" s="17"/>
      <x:c r="O467" s="17"/>
    </x:row>
    <x:row r="468" ht="15" hidden="0" customHeight="1">
      <x:c r="A468" s="7"/>
      <x:c r="B468" s="7"/>
      <x:c r="C468" s="7"/>
      <x:c r="D468" s="8"/>
      <x:c r="E468" s="7"/>
      <x:c r="F468" s="7"/>
      <x:c r="G468" s="7"/>
      <x:c r="H468" s="7"/>
      <x:c r="I468" s="7"/>
      <x:c r="J468" s="9"/>
      <x:c r="K468" s="10"/>
      <x:c r="L468" s="7"/>
      <x:c r="M468" s="8"/>
      <x:c r="N468" s="17"/>
      <x:c r="O468" s="17"/>
    </x:row>
    <x:row r="469" ht="15" hidden="0" customHeight="1">
      <x:c r="A469" s="7"/>
      <x:c r="B469" s="7"/>
      <x:c r="C469" s="7"/>
      <x:c r="D469" s="8"/>
      <x:c r="E469" s="7"/>
      <x:c r="F469" s="7"/>
      <x:c r="G469" s="7"/>
      <x:c r="H469" s="7"/>
      <x:c r="I469" s="7"/>
      <x:c r="J469" s="9"/>
      <x:c r="K469" s="10"/>
      <x:c r="L469" s="7"/>
      <x:c r="M469" s="8"/>
      <x:c r="N469" s="17"/>
      <x:c r="O469" s="17"/>
    </x:row>
    <x:row r="470" ht="15" hidden="0" customHeight="1">
      <x:c r="A470" s="7"/>
      <x:c r="B470" s="7"/>
      <x:c r="C470" s="7"/>
      <x:c r="D470" s="8"/>
      <x:c r="E470" s="7"/>
      <x:c r="F470" s="7"/>
      <x:c r="G470" s="7"/>
      <x:c r="H470" s="7"/>
      <x:c r="I470" s="7"/>
      <x:c r="J470" s="9"/>
      <x:c r="K470" s="10"/>
      <x:c r="L470" s="7"/>
      <x:c r="M470" s="8"/>
      <x:c r="N470" s="17"/>
      <x:c r="O470" s="17"/>
    </x:row>
    <x:row r="471" ht="15" hidden="0" customHeight="1">
      <x:c r="A471" s="7"/>
      <x:c r="B471" s="7"/>
      <x:c r="C471" s="7"/>
      <x:c r="D471" s="8"/>
      <x:c r="E471" s="7"/>
      <x:c r="F471" s="7"/>
      <x:c r="G471" s="7"/>
      <x:c r="H471" s="7"/>
      <x:c r="I471" s="7"/>
      <x:c r="J471" s="9"/>
      <x:c r="K471" s="10"/>
      <x:c r="L471" s="7"/>
      <x:c r="M471" s="8"/>
      <x:c r="N471" s="17"/>
      <x:c r="O471" s="17"/>
    </x:row>
    <x:row r="472" ht="15" hidden="0" customHeight="1">
      <x:c r="A472" s="7"/>
      <x:c r="B472" s="7"/>
      <x:c r="C472" s="7"/>
      <x:c r="D472" s="8"/>
      <x:c r="E472" s="7"/>
      <x:c r="F472" s="7"/>
      <x:c r="G472" s="7"/>
      <x:c r="H472" s="7"/>
      <x:c r="I472" s="7"/>
      <x:c r="J472" s="9"/>
      <x:c r="K472" s="10"/>
      <x:c r="L472" s="7"/>
      <x:c r="M472" s="8"/>
      <x:c r="N472" s="17"/>
      <x:c r="O472" s="17"/>
    </x:row>
    <x:row r="473" ht="15" hidden="0" customHeight="1">
      <x:c r="A473" s="7"/>
      <x:c r="B473" s="7"/>
      <x:c r="C473" s="7"/>
      <x:c r="D473" s="8"/>
      <x:c r="E473" s="7"/>
      <x:c r="F473" s="7"/>
      <x:c r="G473" s="7"/>
      <x:c r="H473" s="7"/>
      <x:c r="I473" s="7"/>
      <x:c r="J473" s="9"/>
      <x:c r="K473" s="10"/>
      <x:c r="L473" s="7"/>
      <x:c r="M473" s="8"/>
      <x:c r="N473" s="17"/>
      <x:c r="O473" s="17"/>
    </x:row>
    <x:row r="474" ht="15" hidden="0" customHeight="1">
      <x:c r="A474" s="7"/>
      <x:c r="B474" s="7"/>
      <x:c r="C474" s="7"/>
      <x:c r="D474" s="8"/>
      <x:c r="E474" s="7"/>
      <x:c r="F474" s="7"/>
      <x:c r="G474" s="7"/>
      <x:c r="H474" s="7"/>
      <x:c r="I474" s="7"/>
      <x:c r="J474" s="9"/>
      <x:c r="K474" s="10"/>
      <x:c r="L474" s="7"/>
      <x:c r="M474" s="8"/>
      <x:c r="N474" s="17"/>
      <x:c r="O474" s="17"/>
    </x:row>
    <x:row r="475" ht="15" hidden="0" customHeight="1">
      <x:c r="A475" s="7"/>
      <x:c r="B475" s="7"/>
      <x:c r="C475" s="7"/>
      <x:c r="D475" s="8"/>
      <x:c r="E475" s="7"/>
      <x:c r="F475" s="7"/>
      <x:c r="G475" s="7"/>
      <x:c r="H475" s="7"/>
      <x:c r="I475" s="7"/>
      <x:c r="J475" s="9"/>
      <x:c r="K475" s="10"/>
      <x:c r="L475" s="7"/>
      <x:c r="M475" s="8"/>
      <x:c r="N475" s="17"/>
      <x:c r="O475" s="17"/>
    </x:row>
    <x:row r="476" ht="15" hidden="0" customHeight="1">
      <x:c r="A476" s="7"/>
      <x:c r="B476" s="7"/>
      <x:c r="C476" s="7"/>
      <x:c r="D476" s="8"/>
      <x:c r="E476" s="7"/>
      <x:c r="F476" s="7"/>
      <x:c r="G476" s="7"/>
      <x:c r="H476" s="7"/>
      <x:c r="I476" s="7"/>
      <x:c r="J476" s="9"/>
      <x:c r="K476" s="10"/>
      <x:c r="L476" s="7"/>
      <x:c r="M476" s="8"/>
      <x:c r="N476" s="17"/>
      <x:c r="O476" s="17"/>
    </x:row>
    <x:row r="477" ht="15" hidden="0" customHeight="1">
      <x:c r="A477" s="7"/>
      <x:c r="B477" s="7"/>
      <x:c r="C477" s="7"/>
      <x:c r="D477" s="8"/>
      <x:c r="E477" s="7"/>
      <x:c r="F477" s="7"/>
      <x:c r="G477" s="7"/>
      <x:c r="H477" s="7"/>
      <x:c r="I477" s="7"/>
      <x:c r="J477" s="9"/>
      <x:c r="K477" s="10"/>
      <x:c r="L477" s="7"/>
      <x:c r="M477" s="8"/>
      <x:c r="N477" s="17"/>
      <x:c r="O477" s="17"/>
    </x:row>
    <x:row r="478" ht="15" hidden="0" customHeight="1">
      <x:c r="A478" s="7"/>
      <x:c r="B478" s="7"/>
      <x:c r="C478" s="7"/>
      <x:c r="D478" s="8"/>
      <x:c r="E478" s="7"/>
      <x:c r="F478" s="7"/>
      <x:c r="G478" s="7"/>
      <x:c r="H478" s="7"/>
      <x:c r="I478" s="7"/>
      <x:c r="J478" s="9"/>
      <x:c r="K478" s="10"/>
      <x:c r="L478" s="7"/>
      <x:c r="M478" s="8"/>
      <x:c r="N478" s="17"/>
      <x:c r="O478" s="17"/>
    </x:row>
    <x:row r="479" ht="15" hidden="0" customHeight="1">
      <x:c r="A479" s="7"/>
      <x:c r="B479" s="7"/>
      <x:c r="C479" s="7"/>
      <x:c r="D479" s="8"/>
      <x:c r="E479" s="7"/>
      <x:c r="F479" s="7"/>
      <x:c r="G479" s="7"/>
      <x:c r="H479" s="7"/>
      <x:c r="I479" s="7"/>
      <x:c r="J479" s="9"/>
      <x:c r="K479" s="10"/>
      <x:c r="L479" s="7"/>
      <x:c r="M479" s="8"/>
      <x:c r="N479" s="17"/>
      <x:c r="O479" s="17"/>
    </x:row>
    <x:row r="480" ht="15" hidden="0" customHeight="1">
      <x:c r="A480" s="7"/>
      <x:c r="B480" s="7"/>
      <x:c r="C480" s="7"/>
      <x:c r="D480" s="8"/>
      <x:c r="E480" s="7"/>
      <x:c r="F480" s="7"/>
      <x:c r="G480" s="7"/>
      <x:c r="H480" s="7"/>
      <x:c r="I480" s="7"/>
      <x:c r="J480" s="9"/>
      <x:c r="K480" s="10"/>
      <x:c r="L480" s="7"/>
      <x:c r="M480" s="8"/>
      <x:c r="N480" s="17"/>
      <x:c r="O480" s="17"/>
    </x:row>
    <x:row r="481" ht="15" hidden="0" customHeight="1">
      <x:c r="A481" s="7"/>
      <x:c r="B481" s="7"/>
      <x:c r="C481" s="7"/>
      <x:c r="D481" s="8"/>
      <x:c r="E481" s="7"/>
      <x:c r="F481" s="7"/>
      <x:c r="G481" s="7"/>
      <x:c r="H481" s="7"/>
      <x:c r="I481" s="7"/>
      <x:c r="J481" s="9"/>
      <x:c r="K481" s="10"/>
      <x:c r="L481" s="7"/>
      <x:c r="M481" s="8"/>
      <x:c r="N481" s="17"/>
      <x:c r="O481" s="17"/>
    </x:row>
    <x:row r="482" ht="15" hidden="0" customHeight="1">
      <x:c r="A482" s="7"/>
      <x:c r="B482" s="7"/>
      <x:c r="C482" s="7"/>
      <x:c r="D482" s="8"/>
      <x:c r="E482" s="7"/>
      <x:c r="F482" s="7"/>
      <x:c r="G482" s="7"/>
      <x:c r="H482" s="7"/>
      <x:c r="I482" s="7"/>
      <x:c r="J482" s="9"/>
      <x:c r="K482" s="10"/>
      <x:c r="L482" s="7"/>
      <x:c r="M482" s="8"/>
      <x:c r="N482" s="17"/>
      <x:c r="O482" s="17"/>
    </x:row>
    <x:row r="483" ht="15" hidden="0" customHeight="1">
      <x:c r="A483" s="7"/>
      <x:c r="B483" s="7"/>
      <x:c r="C483" s="7"/>
      <x:c r="D483" s="8"/>
      <x:c r="E483" s="7"/>
      <x:c r="F483" s="7"/>
      <x:c r="G483" s="7"/>
      <x:c r="H483" s="7"/>
      <x:c r="I483" s="7"/>
      <x:c r="J483" s="9"/>
      <x:c r="K483" s="10"/>
      <x:c r="L483" s="7"/>
      <x:c r="M483" s="8"/>
      <x:c r="N483" s="17"/>
      <x:c r="O483" s="17"/>
    </x:row>
    <x:row r="484" ht="15" hidden="0" customHeight="1">
      <x:c r="A484" s="7"/>
      <x:c r="B484" s="7"/>
      <x:c r="C484" s="7"/>
      <x:c r="D484" s="8"/>
      <x:c r="E484" s="7"/>
      <x:c r="F484" s="7"/>
      <x:c r="G484" s="7"/>
      <x:c r="H484" s="7"/>
      <x:c r="I484" s="7"/>
      <x:c r="J484" s="9"/>
      <x:c r="K484" s="10"/>
      <x:c r="L484" s="7"/>
      <x:c r="M484" s="8"/>
      <x:c r="N484" s="17"/>
      <x:c r="O484" s="17"/>
    </x:row>
    <x:row r="485" ht="15" hidden="0" customHeight="1">
      <x:c r="A485" s="7"/>
      <x:c r="B485" s="7"/>
      <x:c r="C485" s="7"/>
      <x:c r="D485" s="8"/>
      <x:c r="E485" s="7"/>
      <x:c r="F485" s="7"/>
      <x:c r="G485" s="7"/>
      <x:c r="H485" s="7"/>
      <x:c r="I485" s="7"/>
      <x:c r="J485" s="9"/>
      <x:c r="K485" s="10"/>
      <x:c r="L485" s="7"/>
      <x:c r="M485" s="8"/>
      <x:c r="N485" s="17"/>
      <x:c r="O485" s="17"/>
    </x:row>
    <x:row r="486" ht="15" hidden="0" customHeight="1">
      <x:c r="A486" s="7"/>
      <x:c r="B486" s="7"/>
      <x:c r="C486" s="7"/>
      <x:c r="D486" s="8"/>
      <x:c r="E486" s="7"/>
      <x:c r="F486" s="7"/>
      <x:c r="G486" s="7"/>
      <x:c r="H486" s="7"/>
      <x:c r="I486" s="7"/>
      <x:c r="J486" s="9"/>
      <x:c r="K486" s="10"/>
      <x:c r="L486" s="7"/>
      <x:c r="M486" s="8"/>
      <x:c r="N486" s="17"/>
      <x:c r="O486" s="17"/>
    </x:row>
    <x:row r="487" ht="15" hidden="0" customHeight="1">
      <x:c r="A487" s="7"/>
      <x:c r="B487" s="7"/>
      <x:c r="C487" s="7"/>
      <x:c r="D487" s="8"/>
      <x:c r="E487" s="7"/>
      <x:c r="F487" s="7"/>
      <x:c r="G487" s="7"/>
      <x:c r="H487" s="7"/>
      <x:c r="I487" s="7"/>
      <x:c r="J487" s="9"/>
      <x:c r="K487" s="10"/>
      <x:c r="L487" s="7"/>
      <x:c r="M487" s="8"/>
      <x:c r="N487" s="17"/>
      <x:c r="O487" s="17"/>
    </x:row>
    <x:row r="488" ht="15" hidden="0" customHeight="1">
      <x:c r="A488" s="7"/>
      <x:c r="B488" s="7"/>
      <x:c r="C488" s="7"/>
      <x:c r="D488" s="8"/>
      <x:c r="E488" s="7"/>
      <x:c r="F488" s="7"/>
      <x:c r="G488" s="7"/>
      <x:c r="H488" s="7"/>
      <x:c r="I488" s="7"/>
      <x:c r="J488" s="9"/>
      <x:c r="K488" s="10"/>
      <x:c r="L488" s="7"/>
      <x:c r="M488" s="8"/>
      <x:c r="N488" s="17"/>
      <x:c r="O488" s="17"/>
    </x:row>
    <x:row r="489" ht="15" hidden="0" customHeight="1">
      <x:c r="A489" s="7"/>
      <x:c r="B489" s="7"/>
      <x:c r="C489" s="7"/>
      <x:c r="D489" s="8"/>
      <x:c r="E489" s="7"/>
      <x:c r="F489" s="7"/>
      <x:c r="G489" s="7"/>
      <x:c r="H489" s="7"/>
      <x:c r="I489" s="7"/>
      <x:c r="J489" s="9"/>
      <x:c r="K489" s="10"/>
      <x:c r="L489" s="7"/>
      <x:c r="M489" s="8"/>
      <x:c r="N489" s="17"/>
      <x:c r="O489" s="17"/>
    </x:row>
    <x:row r="490" ht="15" hidden="0" customHeight="1">
      <x:c r="A490" s="7"/>
      <x:c r="B490" s="7"/>
      <x:c r="C490" s="7"/>
      <x:c r="D490" s="8"/>
      <x:c r="E490" s="7"/>
      <x:c r="F490" s="7"/>
      <x:c r="G490" s="7"/>
      <x:c r="H490" s="7"/>
      <x:c r="I490" s="7"/>
      <x:c r="J490" s="9"/>
      <x:c r="K490" s="10"/>
      <x:c r="L490" s="7"/>
      <x:c r="M490" s="8"/>
      <x:c r="N490" s="17"/>
      <x:c r="O490" s="17"/>
    </x:row>
    <x:row r="491" ht="15" hidden="0" customHeight="1">
      <x:c r="A491" s="7"/>
      <x:c r="B491" s="7"/>
      <x:c r="C491" s="7"/>
      <x:c r="D491" s="8"/>
      <x:c r="E491" s="7"/>
      <x:c r="F491" s="7"/>
      <x:c r="G491" s="7"/>
      <x:c r="H491" s="7"/>
      <x:c r="I491" s="7"/>
      <x:c r="J491" s="9"/>
      <x:c r="K491" s="10"/>
      <x:c r="L491" s="7"/>
      <x:c r="M491" s="8"/>
      <x:c r="N491" s="17"/>
      <x:c r="O491" s="17"/>
    </x:row>
    <x:row r="492" ht="15" hidden="0" customHeight="1">
      <x:c r="A492" s="7"/>
      <x:c r="B492" s="7"/>
      <x:c r="C492" s="7"/>
      <x:c r="D492" s="8"/>
      <x:c r="E492" s="7"/>
      <x:c r="F492" s="7"/>
      <x:c r="G492" s="7"/>
      <x:c r="H492" s="7"/>
      <x:c r="I492" s="7"/>
      <x:c r="J492" s="9"/>
      <x:c r="K492" s="10"/>
      <x:c r="L492" s="7"/>
      <x:c r="M492" s="8"/>
      <x:c r="N492" s="17"/>
      <x:c r="O492" s="17"/>
    </x:row>
    <x:row r="493" ht="15" hidden="0" customHeight="1">
      <x:c r="A493" s="7"/>
      <x:c r="B493" s="7"/>
      <x:c r="C493" s="7"/>
      <x:c r="D493" s="8"/>
      <x:c r="E493" s="7"/>
      <x:c r="F493" s="7"/>
      <x:c r="G493" s="7"/>
      <x:c r="H493" s="7"/>
      <x:c r="I493" s="7"/>
      <x:c r="J493" s="9"/>
      <x:c r="K493" s="10"/>
      <x:c r="L493" s="7"/>
      <x:c r="M493" s="8"/>
      <x:c r="N493" s="17"/>
      <x:c r="O493" s="17"/>
    </x:row>
    <x:row r="494" ht="15" hidden="0" customHeight="1">
      <x:c r="A494" s="7"/>
      <x:c r="B494" s="7"/>
      <x:c r="C494" s="7"/>
      <x:c r="D494" s="8"/>
      <x:c r="E494" s="7"/>
      <x:c r="F494" s="7"/>
      <x:c r="G494" s="7"/>
      <x:c r="H494" s="7"/>
      <x:c r="I494" s="7"/>
      <x:c r="J494" s="9"/>
      <x:c r="K494" s="10"/>
      <x:c r="L494" s="7"/>
      <x:c r="M494" s="8"/>
      <x:c r="N494" s="17"/>
      <x:c r="O494" s="17"/>
    </x:row>
    <x:row r="495" ht="15" hidden="0" customHeight="1">
      <x:c r="A495" s="7"/>
      <x:c r="B495" s="7"/>
      <x:c r="C495" s="7"/>
      <x:c r="D495" s="8"/>
      <x:c r="E495" s="7"/>
      <x:c r="F495" s="7"/>
      <x:c r="G495" s="7"/>
      <x:c r="H495" s="7"/>
      <x:c r="I495" s="7"/>
      <x:c r="J495" s="9"/>
      <x:c r="K495" s="10"/>
      <x:c r="L495" s="7"/>
      <x:c r="M495" s="8"/>
      <x:c r="N495" s="17"/>
      <x:c r="O495" s="17"/>
    </x:row>
    <x:row r="496" ht="15" hidden="0" customHeight="1">
      <x:c r="A496" s="7"/>
      <x:c r="B496" s="7"/>
      <x:c r="C496" s="7"/>
      <x:c r="D496" s="8"/>
      <x:c r="E496" s="7"/>
      <x:c r="F496" s="7"/>
      <x:c r="G496" s="7"/>
      <x:c r="H496" s="7"/>
      <x:c r="I496" s="7"/>
      <x:c r="J496" s="9"/>
      <x:c r="K496" s="10"/>
      <x:c r="L496" s="7"/>
      <x:c r="M496" s="8"/>
      <x:c r="N496" s="17"/>
      <x:c r="O496" s="17"/>
    </x:row>
    <x:row r="497" ht="15" hidden="0" customHeight="1">
      <x:c r="A497" s="7"/>
      <x:c r="B497" s="7"/>
      <x:c r="C497" s="7"/>
      <x:c r="D497" s="8"/>
      <x:c r="E497" s="7"/>
      <x:c r="F497" s="7"/>
      <x:c r="G497" s="7"/>
      <x:c r="H497" s="7"/>
      <x:c r="I497" s="7"/>
      <x:c r="J497" s="9"/>
      <x:c r="K497" s="10"/>
      <x:c r="L497" s="7"/>
      <x:c r="M497" s="8"/>
      <x:c r="N497" s="17"/>
      <x:c r="O497" s="17"/>
    </x:row>
    <x:row r="498" ht="15" hidden="0" customHeight="1">
      <x:c r="A498" s="7"/>
      <x:c r="B498" s="7"/>
      <x:c r="C498" s="7"/>
      <x:c r="D498" s="8"/>
      <x:c r="E498" s="7"/>
      <x:c r="F498" s="7"/>
      <x:c r="G498" s="7"/>
      <x:c r="H498" s="7"/>
      <x:c r="I498" s="7"/>
      <x:c r="J498" s="9"/>
      <x:c r="K498" s="10"/>
      <x:c r="L498" s="7"/>
      <x:c r="M498" s="8"/>
      <x:c r="N498" s="17"/>
      <x:c r="O498" s="17"/>
    </x:row>
    <x:row r="499" ht="15" hidden="0" customHeight="1">
      <x:c r="A499" s="7"/>
      <x:c r="B499" s="7"/>
      <x:c r="C499" s="7"/>
      <x:c r="D499" s="8"/>
      <x:c r="E499" s="7"/>
      <x:c r="F499" s="7"/>
      <x:c r="G499" s="7"/>
      <x:c r="H499" s="7"/>
      <x:c r="I499" s="7"/>
      <x:c r="J499" s="9"/>
      <x:c r="K499" s="10"/>
      <x:c r="L499" s="7"/>
      <x:c r="M499" s="8"/>
      <x:c r="N499" s="17"/>
      <x:c r="O499" s="17"/>
    </x:row>
    <x:row r="500" ht="15" hidden="0" customHeight="1">
      <x:c r="A500" s="7"/>
      <x:c r="B500" s="7"/>
      <x:c r="C500" s="7"/>
      <x:c r="D500" s="8"/>
      <x:c r="E500" s="7"/>
      <x:c r="F500" s="7"/>
      <x:c r="G500" s="7"/>
      <x:c r="H500" s="7"/>
      <x:c r="I500" s="7"/>
      <x:c r="J500" s="9"/>
      <x:c r="K500" s="10"/>
      <x:c r="L500" s="7"/>
      <x:c r="M500" s="8"/>
      <x:c r="N500" s="17"/>
      <x:c r="O500" s="17"/>
    </x:row>
    <x:row r="501" ht="15" hidden="0" customHeight="1">
      <x:c r="A501" s="7"/>
      <x:c r="B501" s="7"/>
      <x:c r="C501" s="7"/>
      <x:c r="D501" s="8"/>
      <x:c r="E501" s="7"/>
      <x:c r="F501" s="7"/>
      <x:c r="G501" s="7"/>
      <x:c r="H501" s="7"/>
      <x:c r="I501" s="7"/>
      <x:c r="J501" s="9"/>
      <x:c r="K501" s="10"/>
      <x:c r="L501" s="7"/>
      <x:c r="M501" s="8"/>
      <x:c r="N501" s="17"/>
      <x:c r="O501" s="17"/>
    </x:row>
    <x:row r="502" ht="15" hidden="0" customHeight="1">
      <x:c r="A502" s="7"/>
      <x:c r="B502" s="7"/>
      <x:c r="C502" s="7"/>
      <x:c r="D502" s="8"/>
      <x:c r="E502" s="7"/>
      <x:c r="F502" s="7"/>
      <x:c r="G502" s="7"/>
      <x:c r="H502" s="7"/>
      <x:c r="I502" s="7"/>
      <x:c r="J502" s="9"/>
      <x:c r="K502" s="10"/>
      <x:c r="L502" s="7"/>
      <x:c r="M502" s="8"/>
      <x:c r="N502" s="17"/>
      <x:c r="O502" s="17"/>
    </x:row>
    <x:row r="503" ht="15" hidden="0" customHeight="1">
      <x:c r="A503" s="7"/>
      <x:c r="B503" s="7"/>
      <x:c r="C503" s="7"/>
      <x:c r="D503" s="8"/>
      <x:c r="E503" s="7"/>
      <x:c r="F503" s="7"/>
      <x:c r="G503" s="7"/>
      <x:c r="H503" s="7"/>
      <x:c r="I503" s="7"/>
      <x:c r="J503" s="9"/>
      <x:c r="K503" s="10"/>
      <x:c r="L503" s="7"/>
      <x:c r="M503" s="8"/>
      <x:c r="N503" s="17"/>
      <x:c r="O503" s="17"/>
    </x:row>
    <x:row r="504" ht="15" hidden="0" customHeight="1">
      <x:c r="A504" s="7"/>
      <x:c r="B504" s="7"/>
      <x:c r="C504" s="7"/>
      <x:c r="D504" s="8"/>
      <x:c r="E504" s="7"/>
      <x:c r="F504" s="7"/>
      <x:c r="G504" s="7"/>
      <x:c r="H504" s="7"/>
      <x:c r="I504" s="7"/>
      <x:c r="J504" s="9"/>
      <x:c r="K504" s="10"/>
      <x:c r="L504" s="7"/>
      <x:c r="M504" s="8"/>
      <x:c r="N504" s="17"/>
      <x:c r="O504" s="17"/>
    </x:row>
    <x:row r="505" ht="15" hidden="0" customHeight="1">
      <x:c r="A505" s="7"/>
      <x:c r="B505" s="7"/>
      <x:c r="C505" s="7"/>
      <x:c r="D505" s="8"/>
      <x:c r="E505" s="7"/>
      <x:c r="F505" s="7"/>
      <x:c r="G505" s="7"/>
      <x:c r="H505" s="7"/>
      <x:c r="I505" s="7"/>
      <x:c r="J505" s="9"/>
      <x:c r="K505" s="10"/>
      <x:c r="L505" s="7"/>
      <x:c r="M505" s="8"/>
      <x:c r="N505" s="17"/>
      <x:c r="O505" s="17"/>
    </x:row>
    <x:row r="506" ht="15" hidden="0" customHeight="1">
      <x:c r="A506" s="7"/>
      <x:c r="B506" s="7"/>
      <x:c r="C506" s="7"/>
      <x:c r="D506" s="8"/>
      <x:c r="E506" s="7"/>
      <x:c r="F506" s="7"/>
      <x:c r="G506" s="7"/>
      <x:c r="H506" s="7"/>
      <x:c r="I506" s="7"/>
      <x:c r="J506" s="9"/>
      <x:c r="K506" s="10"/>
      <x:c r="L506" s="7"/>
      <x:c r="M506" s="8"/>
      <x:c r="N506" s="17"/>
      <x:c r="O506" s="17"/>
    </x:row>
    <x:row r="507" ht="15" hidden="0" customHeight="1">
      <x:c r="A507" s="7"/>
      <x:c r="B507" s="7"/>
      <x:c r="C507" s="7"/>
      <x:c r="D507" s="8"/>
      <x:c r="E507" s="7"/>
      <x:c r="F507" s="7"/>
      <x:c r="G507" s="7"/>
      <x:c r="H507" s="7"/>
      <x:c r="I507" s="7"/>
      <x:c r="J507" s="9"/>
      <x:c r="K507" s="10"/>
      <x:c r="L507" s="7"/>
      <x:c r="M507" s="8"/>
      <x:c r="N507" s="17"/>
      <x:c r="O507" s="17"/>
    </x:row>
    <x:row r="508" ht="15" hidden="0" customHeight="1">
      <x:c r="A508" s="7"/>
      <x:c r="B508" s="7"/>
      <x:c r="C508" s="7"/>
      <x:c r="D508" s="8"/>
      <x:c r="E508" s="7"/>
      <x:c r="F508" s="7"/>
      <x:c r="G508" s="7"/>
      <x:c r="H508" s="7"/>
      <x:c r="I508" s="7"/>
      <x:c r="J508" s="9"/>
      <x:c r="K508" s="10"/>
      <x:c r="L508" s="7"/>
      <x:c r="M508" s="8"/>
      <x:c r="N508" s="17"/>
      <x:c r="O508" s="17"/>
    </x:row>
    <x:row r="509" ht="15" hidden="0" customHeight="1">
      <x:c r="A509" s="7"/>
      <x:c r="B509" s="7"/>
      <x:c r="C509" s="7"/>
      <x:c r="D509" s="8"/>
      <x:c r="E509" s="7"/>
      <x:c r="F509" s="7"/>
      <x:c r="G509" s="7"/>
      <x:c r="H509" s="7"/>
      <x:c r="I509" s="7"/>
      <x:c r="J509" s="9"/>
      <x:c r="K509" s="10"/>
      <x:c r="L509" s="7"/>
      <x:c r="M509" s="8"/>
      <x:c r="N509" s="17"/>
      <x:c r="O509" s="17"/>
    </x:row>
    <x:row r="510" ht="15" hidden="0" customHeight="1">
      <x:c r="A510" s="7"/>
      <x:c r="B510" s="7"/>
      <x:c r="C510" s="7"/>
      <x:c r="D510" s="8"/>
      <x:c r="E510" s="7"/>
      <x:c r="F510" s="7"/>
      <x:c r="G510" s="7"/>
      <x:c r="H510" s="7"/>
      <x:c r="I510" s="7"/>
      <x:c r="J510" s="9"/>
      <x:c r="K510" s="10"/>
      <x:c r="L510" s="7"/>
      <x:c r="M510" s="8"/>
      <x:c r="N510" s="17"/>
      <x:c r="O510" s="17"/>
    </x:row>
    <x:row r="511" ht="15" hidden="0" customHeight="1">
      <x:c r="A511" s="7"/>
      <x:c r="B511" s="7"/>
      <x:c r="C511" s="7"/>
      <x:c r="D511" s="8"/>
      <x:c r="E511" s="7"/>
      <x:c r="F511" s="7"/>
      <x:c r="G511" s="7"/>
      <x:c r="H511" s="7"/>
      <x:c r="I511" s="7"/>
      <x:c r="J511" s="9"/>
      <x:c r="K511" s="10"/>
      <x:c r="L511" s="7"/>
      <x:c r="M511" s="8"/>
      <x:c r="N511" s="17"/>
      <x:c r="O511" s="17"/>
    </x:row>
    <x:row r="512" ht="15" hidden="0" customHeight="1">
      <x:c r="A512" s="7"/>
      <x:c r="B512" s="7"/>
      <x:c r="C512" s="7"/>
      <x:c r="D512" s="8"/>
      <x:c r="E512" s="7"/>
      <x:c r="F512" s="7"/>
      <x:c r="G512" s="7"/>
      <x:c r="H512" s="7"/>
      <x:c r="I512" s="7"/>
      <x:c r="J512" s="9"/>
      <x:c r="K512" s="10"/>
      <x:c r="L512" s="7"/>
      <x:c r="M512" s="8"/>
      <x:c r="N512" s="17"/>
      <x:c r="O512" s="17"/>
    </x:row>
    <x:row r="513" ht="15" hidden="0" customHeight="1">
      <x:c r="A513" s="7"/>
      <x:c r="B513" s="7"/>
      <x:c r="C513" s="7"/>
      <x:c r="D513" s="8"/>
      <x:c r="E513" s="7"/>
      <x:c r="F513" s="7"/>
      <x:c r="G513" s="7"/>
      <x:c r="H513" s="7"/>
      <x:c r="I513" s="7"/>
      <x:c r="J513" s="9"/>
      <x:c r="K513" s="10"/>
      <x:c r="L513" s="7"/>
      <x:c r="M513" s="8"/>
      <x:c r="N513" s="17"/>
      <x:c r="O513" s="17"/>
    </x:row>
    <x:row r="514" ht="15" hidden="0" customHeight="1">
      <x:c r="A514" s="7"/>
      <x:c r="B514" s="7"/>
      <x:c r="C514" s="7"/>
      <x:c r="D514" s="8"/>
      <x:c r="E514" s="7"/>
      <x:c r="F514" s="7"/>
      <x:c r="G514" s="7"/>
      <x:c r="H514" s="7"/>
      <x:c r="I514" s="7"/>
      <x:c r="J514" s="9"/>
      <x:c r="K514" s="10"/>
      <x:c r="L514" s="7"/>
      <x:c r="M514" s="8"/>
      <x:c r="N514" s="17"/>
      <x:c r="O514" s="17"/>
    </x:row>
    <x:row r="515" ht="15" hidden="0" customHeight="1">
      <x:c r="A515" s="7"/>
      <x:c r="B515" s="7"/>
      <x:c r="C515" s="7"/>
      <x:c r="D515" s="8"/>
      <x:c r="E515" s="7"/>
      <x:c r="F515" s="7"/>
      <x:c r="G515" s="7"/>
      <x:c r="H515" s="7"/>
      <x:c r="I515" s="7"/>
      <x:c r="J515" s="9"/>
      <x:c r="K515" s="10"/>
      <x:c r="L515" s="7"/>
      <x:c r="M515" s="8"/>
      <x:c r="N515" s="17"/>
      <x:c r="O515" s="17"/>
    </x:row>
    <x:row r="516" ht="15" hidden="0" customHeight="1">
      <x:c r="A516" s="7"/>
      <x:c r="B516" s="7"/>
      <x:c r="C516" s="7"/>
      <x:c r="D516" s="8"/>
      <x:c r="E516" s="7"/>
      <x:c r="F516" s="7"/>
      <x:c r="G516" s="7"/>
      <x:c r="H516" s="7"/>
      <x:c r="I516" s="7"/>
      <x:c r="J516" s="9"/>
      <x:c r="K516" s="10"/>
      <x:c r="L516" s="7"/>
      <x:c r="M516" s="8"/>
      <x:c r="N516" s="17"/>
      <x:c r="O516" s="17"/>
    </x:row>
    <x:row r="517" ht="15" hidden="0" customHeight="1">
      <x:c r="A517" s="7"/>
      <x:c r="B517" s="7"/>
      <x:c r="C517" s="7"/>
      <x:c r="D517" s="8"/>
      <x:c r="E517" s="7"/>
      <x:c r="F517" s="7"/>
      <x:c r="G517" s="7"/>
      <x:c r="H517" s="7"/>
      <x:c r="I517" s="7"/>
      <x:c r="J517" s="9"/>
      <x:c r="K517" s="10"/>
      <x:c r="L517" s="7"/>
      <x:c r="M517" s="8"/>
      <x:c r="N517" s="17"/>
      <x:c r="O517" s="17"/>
    </x:row>
  </x:sheetData>
  <x:mergeCells>
    <x:mergeCell ref="A2:M2"/>
  </x:mergeCells>
  <x:conditionalFormatting sqref="J5:J516">
    <x:cfRule type="containsText" dxfId="6" priority="1" operator="containsText" text="RESUELTO"/>
    <x:cfRule type="containsText" dxfId="7" priority="2" operator="containsText" text="EN PROCESO"/>
    <x:cfRule type="containsText" dxfId="8" priority="3" operator="containsText" text="PENDI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34" hidden="0" customWidth="1"/>
    <x:col min="5" max="5" width="38" hidden="0" customWidth="1"/>
    <x:col min="6" max="6" width="14" hidden="0" customWidth="1"/>
    <x:col min="7" max="7" width="18" hidden="0" customWidth="1"/>
    <x:col min="8" max="8" width="18" hidden="0" customWidth="1"/>
    <x:col min="9" max="9" width="10" hidden="0" customWidth="1"/>
    <x:col min="10" max="10" width="14" hidden="0" customWidth="1"/>
    <x:col min="11" max="11" width="16" hidden="0" customWidth="1"/>
    <x:col min="12" max="12" width="20" hidden="0" customWidth="1"/>
    <x:col min="13" max="13" width="52" hidden="0" customWidth="1"/>
    <x:col min="15" max="15" width="16" hidden="0" customWidth="1"/>
  </x:cols>
  <x:sheetData>
    <x:row r="2" ht="15" hidden="0" customHeight="1">
      <x:c r="A2" s="2" t="str">
        <x:v>VULNERABILIDAD MEDIUM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2" t="str">
        <x:v>ESTATUS</x:v>
      </x:c>
    </x:row>
    <x:row r="4" ht="15" hidden="0" customHeight="1">
      <x:c r="A4" s="6" t="str">
        <x:v>ID</x:v>
      </x:c>
      <x:c r="B4" s="6" t="str">
        <x:v>Scanner</x:v>
      </x:c>
      <x:c r="C4" s="6" t="str">
        <x:v>Gravedad</x:v>
      </x:c>
      <x:c r="D4" s="6" t="str">
        <x:v>Vulnerabilidad</x:v>
      </x:c>
      <x:c r="E4" s="6" t="str">
        <x:v>Package Name</x:v>
      </x:c>
      <x:c r="F4" s="6" t="str">
        <x:v>Version</x:v>
      </x:c>
      <x:c r="G4" s="6" t="str">
        <x:v>Categoria</x:v>
      </x:c>
      <x:c r="H4" s="6" t="str">
        <x:v>CVE</x:v>
      </x:c>
      <x:c r="I4" s="6" t="str">
        <x:v>PaginaDF</x:v>
      </x:c>
      <x:c r="J4" s="6" t="str">
        <x:v>ESTADO</x:v>
      </x:c>
      <x:c r="K4" s="6" t="str">
        <x:v>Fecha tentativa</x:v>
      </x:c>
      <x:c r="L4" s="6" t="str">
        <x:v>Entrega</x:v>
      </x:c>
      <x:c r="M4" s="6" t="str">
        <x:v>Observaciones</x:v>
      </x:c>
      <x:c r="N4" s="17"/>
      <x:c r="O4" s="11" t="str">
        <x:v>RESUELTO</x:v>
      </x:c>
    </x:row>
    <x:row r="5" ht="15" hidden="0" customHeight="1">
      <x:c r="A5" s="7" t="str" cm="1">
        <x:f t="array" ref="A5:M321">_xlfn._xlws.FILTER('COMPENDIO'!A5:M516,'COMPENDIO'!C5:C516="MEDIUM","")</x:f>
        <x:v>SIAJ-0212</x:v>
      </x:c>
      <x:c r="B5" s="7" t="str">
        <x:v>SAST</x:v>
      </x:c>
      <x:c r="C5" s="7" t="str">
        <x:v>MEDIUM</x:v>
      </x:c>
      <x:c r="D5" s="8" t="str">
        <x:v>Missing_HSTS_Header 1/1</x:v>
      </x:c>
      <x:c r="E5" s="7" t="str">
        <x:v>Código fuente Java</x:v>
      </x:c>
      <x:c r="F5" s="7" t="str"/>
      <x:c r="G5" s="7" t="str">
        <x:v>CWE-346</x:v>
      </x:c>
      <x:c r="H5" s="7" t="str"/>
      <x:c r="I5" s="7" t="n">
        <x:v>113</x:v>
      </x:c>
      <x:c r="J5" s="9" t="str">
        <x:v>EN PROCESO</x:v>
      </x:c>
      <x:c r="K5" s="10" t="n">
        <x:v>46254</x:v>
      </x:c>
      <x:c r="L5" s="7" t="str">
        <x:v>Avance 2026-08-20</x:v>
      </x:c>
      <x:c r="M5" s="8" t="str">
        <x:v>Candidato para primer avance por impacto y alcance acotado.</x:v>
      </x:c>
      <x:c r="N5" s="17"/>
      <x:c r="O5" s="12" t="str">
        <x:v>EN PROCESO</x:v>
      </x:c>
    </x:row>
    <x:row r="6" ht="15" hidden="0" customHeight="1">
      <x:c r="A6" s="7" t="str">
        <x:v>SIAJ-0213</x:v>
      </x:c>
      <x:c r="B6" s="7" t="str">
        <x:v>SAST</x:v>
      </x:c>
      <x:c r="C6" s="7" t="str">
        <x:v>MEDIUM</x:v>
      </x:c>
      <x:c r="D6" s="8" t="str">
        <x:v>Open_Redirect 1/2</x:v>
      </x:c>
      <x:c r="E6" s="7" t="str">
        <x:v>Código fuente Java</x:v>
      </x:c>
      <x:c r="F6" s="7" t="str"/>
      <x:c r="G6" s="7" t="str">
        <x:v>CWE-601</x:v>
      </x:c>
      <x:c r="H6" s="7" t="str"/>
      <x:c r="I6" s="7" t="n">
        <x:v>114</x:v>
      </x:c>
      <x:c r="J6" s="9" t="str">
        <x:v>EN PROCESO</x:v>
      </x:c>
      <x:c r="K6" s="10" t="n">
        <x:v>46254</x:v>
      </x:c>
      <x:c r="L6" s="7" t="str">
        <x:v>Avance 2026-08-20</x:v>
      </x:c>
      <x:c r="M6" s="8" t="str">
        <x:v>Candidato para primer avance por impacto y alcance acotado.</x:v>
      </x:c>
      <x:c r="N6" s="17"/>
      <x:c r="O6" s="13" t="str">
        <x:v>PENDIENTE</x:v>
      </x:c>
    </x:row>
    <x:row r="7" ht="15" hidden="0" customHeight="1">
      <x:c r="A7" s="7" t="str">
        <x:v>SIAJ-0214</x:v>
      </x:c>
      <x:c r="B7" s="7" t="str">
        <x:v>SAST</x:v>
      </x:c>
      <x:c r="C7" s="7" t="str">
        <x:v>MEDIUM</x:v>
      </x:c>
      <x:c r="D7" s="8" t="str">
        <x:v>Open_Redirect 2/2</x:v>
      </x:c>
      <x:c r="E7" s="7" t="str">
        <x:v>Código fuente Java</x:v>
      </x:c>
      <x:c r="F7" s="7" t="str"/>
      <x:c r="G7" s="7" t="str">
        <x:v>CWE-601</x:v>
      </x:c>
      <x:c r="H7" s="7" t="str"/>
      <x:c r="I7" s="7" t="n">
        <x:v>114</x:v>
      </x:c>
      <x:c r="J7" s="9" t="str">
        <x:v>EN PROCESO</x:v>
      </x:c>
      <x:c r="K7" s="10" t="n">
        <x:v>46254</x:v>
      </x:c>
      <x:c r="L7" s="7" t="str">
        <x:v>Avance 2026-08-20</x:v>
      </x:c>
      <x:c r="M7" s="8" t="str">
        <x:v>Candidato para primer avance por impacto y alcance acotado.</x:v>
      </x:c>
      <x:c r="N7" s="17"/>
      <x:c r="O7" s="17"/>
    </x:row>
    <x:row r="8" ht="15" hidden="0" customHeight="1">
      <x:c r="A8" s="7" t="str">
        <x:v>SIAJ-0468</x:v>
      </x:c>
      <x:c r="B8" s="7" t="str">
        <x:v>CONTAINER</x:v>
      </x:c>
      <x:c r="C8" s="7" t="str">
        <x:v>MEDIUM</x:v>
      </x:c>
      <x:c r="D8" s="8" t="str">
        <x:v>Contenedor bzip2-1.0.8-6</x:v>
      </x:c>
      <x:c r="E8" s="7" t="str">
        <x:v>bzip2</x:v>
      </x:c>
      <x:c r="F8" s="7" t="str">
        <x:v>1.0.8-6</x:v>
      </x:c>
      <x:c r="G8" s="7" t="str">
        <x:v>CWE-787</x:v>
      </x:c>
      <x:c r="H8" s="7" t="str">
        <x:v>CVE-2026-42250</x:v>
      </x:c>
      <x:c r="I8" s="7" t="n">
        <x:v>201</x:v>
      </x:c>
      <x:c r="J8" s="9" t="str">
        <x:v>PENDIENTE</x:v>
      </x:c>
      <x:c r="K8" s="10" t="n">
        <x:v>46583</x:v>
      </x:c>
      <x:c r="L8" s="7" t="str">
        <x:v>Avance 2027-07-15</x:v>
      </x:c>
      <x:c r="M8" s="8" t="str">
        <x:v>Actualizar imagen/base y validar compatibilidad en despliegue.</x:v>
      </x:c>
      <x:c r="N8" s="17"/>
      <x:c r="O8" s="17"/>
    </x:row>
    <x:row r="9" ht="15" hidden="0" customHeight="1">
      <x:c r="A9" s="7" t="str">
        <x:v>SIAJ-0425</x:v>
      </x:c>
      <x:c r="B9" s="7" t="str">
        <x:v>CONTAINER</x:v>
      </x:c>
      <x:c r="C9" s="7" t="str">
        <x:v>MEDIUM</x:v>
      </x:c>
      <x:c r="D9" s="8" t="str">
        <x:v>Contenedor coreutils-9.7-3</x:v>
      </x:c>
      <x:c r="E9" s="7" t="str">
        <x:v>coreutils</x:v>
      </x:c>
      <x:c r="F9" s="7" t="str">
        <x:v>9.7-3</x:v>
      </x:c>
      <x:c r="G9" s="7" t="str">
        <x:v>CWE-125</x:v>
      </x:c>
      <x:c r="H9" s="7" t="str">
        <x:v>CVE-2026-56391</x:v>
      </x:c>
      <x:c r="I9" s="7" t="n">
        <x:v>189</x:v>
      </x:c>
      <x:c r="J9" s="9" t="str">
        <x:v>PENDIENTE</x:v>
      </x:c>
      <x:c r="K9" s="10" t="n">
        <x:v>46583</x:v>
      </x:c>
      <x:c r="L9" s="7" t="str">
        <x:v>Avance 2027-07-15</x:v>
      </x:c>
      <x:c r="M9" s="8" t="str">
        <x:v>Actualizar imagen/base y validar compatibilidad en despliegue.</x:v>
      </x:c>
      <x:c r="N9" s="17"/>
      <x:c r="O9" s="17"/>
    </x:row>
    <x:row r="10" ht="15" hidden="0" customHeight="1">
      <x:c r="A10" s="7" t="str">
        <x:v>SIAJ-0426</x:v>
      </x:c>
      <x:c r="B10" s="7" t="str">
        <x:v>CONTAINER</x:v>
      </x:c>
      <x:c r="C10" s="7" t="str">
        <x:v>MEDIUM</x:v>
      </x:c>
      <x:c r="D10" s="8" t="str">
        <x:v>Contenedor coreutils-9.7-3</x:v>
      </x:c>
      <x:c r="E10" s="7" t="str">
        <x:v>coreutils</x:v>
      </x:c>
      <x:c r="F10" s="7" t="str">
        <x:v>9.7-3</x:v>
      </x:c>
      <x:c r="G10" s="7" t="str">
        <x:v>CWE-121</x:v>
      </x:c>
      <x:c r="H10" s="7" t="str">
        <x:v>CVE-2025-5278</x:v>
      </x:c>
      <x:c r="I10" s="7" t="n">
        <x:v>190</x:v>
      </x:c>
      <x:c r="J10" s="9" t="str">
        <x:v>PENDIENTE</x:v>
      </x:c>
      <x:c r="K10" s="10" t="n">
        <x:v>46583</x:v>
      </x:c>
      <x:c r="L10" s="7" t="str">
        <x:v>Avance 2027-07-15</x:v>
      </x:c>
      <x:c r="M10" s="8" t="str">
        <x:v>Actualizar imagen/base y validar compatibilidad en despliegue.</x:v>
      </x:c>
      <x:c r="N10" s="17"/>
      <x:c r="O10" s="17"/>
    </x:row>
    <x:row r="11" ht="15" hidden="0" customHeight="1">
      <x:c r="A11" s="7" t="str">
        <x:v>SIAJ-0475</x:v>
      </x:c>
      <x:c r="B11" s="7" t="str">
        <x:v>CONTAINER</x:v>
      </x:c>
      <x:c r="C11" s="7" t="str">
        <x:v>MEDIUM</x:v>
      </x:c>
      <x:c r="D11" s="8" t="str">
        <x:v>Contenedor glibc-2.41-12+deb13u3</x:v>
      </x:c>
      <x:c r="E11" s="7" t="str">
        <x:v>glibc</x:v>
      </x:c>
      <x:c r="F11" s="7" t="str">
        <x:v>2.41-12+deb13u3</x:v>
      </x:c>
      <x:c r="G11" s="7" t="str">
        <x:v>CWE-330</x:v>
      </x:c>
      <x:c r="H11" s="7" t="str">
        <x:v>CVE-2019-1010025</x:v>
      </x:c>
      <x:c r="I11" s="7" t="n">
        <x:v>203</x:v>
      </x:c>
      <x:c r="J11" s="9" t="str">
        <x:v>PENDIENTE</x:v>
      </x:c>
      <x:c r="K11" s="10" t="n">
        <x:v>46583</x:v>
      </x:c>
      <x:c r="L11" s="7" t="str">
        <x:v>Avance 2027-07-15</x:v>
      </x:c>
      <x:c r="M11" s="8" t="str">
        <x:v>Actualizar imagen/base y validar compatibilidad en despliegue.</x:v>
      </x:c>
      <x:c r="N11" s="17"/>
      <x:c r="O11" s="17"/>
    </x:row>
    <x:row r="12" ht="15" hidden="0" customHeight="1">
      <x:c r="A12" s="7" t="str">
        <x:v>SIAJ-0476</x:v>
      </x:c>
      <x:c r="B12" s="7" t="str">
        <x:v>CONTAINER</x:v>
      </x:c>
      <x:c r="C12" s="7" t="str">
        <x:v>MEDIUM</x:v>
      </x:c>
      <x:c r="D12" s="8" t="str">
        <x:v>Contenedor glibc-2.41-12+deb13u3</x:v>
      </x:c>
      <x:c r="E12" s="7" t="str">
        <x:v>glibc</x:v>
      </x:c>
      <x:c r="F12" s="7" t="str">
        <x:v>2.41-12+deb13u3</x:v>
      </x:c>
      <x:c r="G12" s="7" t="str">
        <x:v>CWE-399</x:v>
      </x:c>
      <x:c r="H12" s="7" t="str">
        <x:v>CVE-2010-4756</x:v>
      </x:c>
      <x:c r="I12" s="7" t="n">
        <x:v>203</x:v>
      </x:c>
      <x:c r="J12" s="9" t="str">
        <x:v>PENDIENTE</x:v>
      </x:c>
      <x:c r="K12" s="10" t="n">
        <x:v>46583</x:v>
      </x:c>
      <x:c r="L12" s="7" t="str">
        <x:v>Avance 2027-07-15</x:v>
      </x:c>
      <x:c r="M12" s="8" t="str">
        <x:v>Actualizar imagen/base y validar compatibilidad en despliegue.</x:v>
      </x:c>
      <x:c r="N12" s="17"/>
      <x:c r="O12" s="17"/>
    </x:row>
    <x:row r="13" ht="15" hidden="0" customHeight="1">
      <x:c r="A13" s="7" t="str">
        <x:v>SIAJ-0477</x:v>
      </x:c>
      <x:c r="B13" s="7" t="str">
        <x:v>CONTAINER</x:v>
      </x:c>
      <x:c r="C13" s="7" t="str">
        <x:v>MEDIUM</x:v>
      </x:c>
      <x:c r="D13" s="8" t="str">
        <x:v>Contenedor glibc-2.41-12+deb13u3</x:v>
      </x:c>
      <x:c r="E13" s="7" t="str">
        <x:v>glibc</x:v>
      </x:c>
      <x:c r="F13" s="7" t="str">
        <x:v>2.41-12+deb13u3</x:v>
      </x:c>
      <x:c r="G13" s="7" t="str">
        <x:v>CWE-200</x:v>
      </x:c>
      <x:c r="H13" s="7" t="str">
        <x:v>CVE-2019-1010024</x:v>
      </x:c>
      <x:c r="I13" s="7" t="n">
        <x:v>203</x:v>
      </x:c>
      <x:c r="J13" s="9" t="str">
        <x:v>PENDIENTE</x:v>
      </x:c>
      <x:c r="K13" s="10" t="n">
        <x:v>46583</x:v>
      </x:c>
      <x:c r="L13" s="7" t="str">
        <x:v>Avance 2027-07-15</x:v>
      </x:c>
      <x:c r="M13" s="8" t="str">
        <x:v>Actualizar imagen/base y validar compatibilidad en despliegue.</x:v>
      </x:c>
      <x:c r="N13" s="17"/>
      <x:c r="O13" s="17"/>
    </x:row>
    <x:row r="14" ht="15" hidden="0" customHeight="1">
      <x:c r="A14" s="7" t="str">
        <x:v>SIAJ-0478</x:v>
      </x:c>
      <x:c r="B14" s="7" t="str">
        <x:v>CONTAINER</x:v>
      </x:c>
      <x:c r="C14" s="7" t="str">
        <x:v>MEDIUM</x:v>
      </x:c>
      <x:c r="D14" s="8" t="str">
        <x:v>Contenedor glibc-2.41-12+deb13u3</x:v>
      </x:c>
      <x:c r="E14" s="7" t="str">
        <x:v>glibc</x:v>
      </x:c>
      <x:c r="F14" s="7" t="str">
        <x:v>2.41-12+deb13u3</x:v>
      </x:c>
      <x:c r="G14" s="7" t="str">
        <x:v>NVD-CWE-noinfo</x:v>
      </x:c>
      <x:c r="H14" s="7" t="str">
        <x:v>CVE-2019-1010023</x:v>
      </x:c>
      <x:c r="I14" s="7" t="n">
        <x:v>203</x:v>
      </x:c>
      <x:c r="J14" s="9" t="str">
        <x:v>PENDIENTE</x:v>
      </x:c>
      <x:c r="K14" s="10" t="n">
        <x:v>46583</x:v>
      </x:c>
      <x:c r="L14" s="7" t="str">
        <x:v>Avance 2027-07-15</x:v>
      </x:c>
      <x:c r="M14" s="8" t="str">
        <x:v>Actualizar imagen/base y validar compatibilidad en despliegue.</x:v>
      </x:c>
      <x:c r="N14" s="17"/>
      <x:c r="O14" s="17"/>
    </x:row>
    <x:row r="15" ht="15" hidden="0" customHeight="1">
      <x:c r="A15" s="7" t="str">
        <x:v>SIAJ-0479</x:v>
      </x:c>
      <x:c r="B15" s="7" t="str">
        <x:v>CONTAINER</x:v>
      </x:c>
      <x:c r="C15" s="7" t="str">
        <x:v>MEDIUM</x:v>
      </x:c>
      <x:c r="D15" s="8" t="str">
        <x:v>Contenedor glibc-2.41-12+deb13u3</x:v>
      </x:c>
      <x:c r="E15" s="7" t="str">
        <x:v>glibc</x:v>
      </x:c>
      <x:c r="F15" s="7" t="str">
        <x:v>2.41-12+deb13u3</x:v>
      </x:c>
      <x:c r="G15" s="7" t="str">
        <x:v>CWE-126</x:v>
      </x:c>
      <x:c r="H15" s="7" t="str">
        <x:v>CVE-2026-6238</x:v>
      </x:c>
      <x:c r="I15" s="7" t="n">
        <x:v>204</x:v>
      </x:c>
      <x:c r="J15" s="9" t="str">
        <x:v>PENDIENTE</x:v>
      </x:c>
      <x:c r="K15" s="10" t="n">
        <x:v>46583</x:v>
      </x:c>
      <x:c r="L15" s="7" t="str">
        <x:v>Avance 2027-07-15</x:v>
      </x:c>
      <x:c r="M15" s="8" t="str">
        <x:v>Actualizar imagen/base y validar compatibilidad en despliegue.</x:v>
      </x:c>
      <x:c r="N15" s="17"/>
      <x:c r="O15" s="17"/>
    </x:row>
    <x:row r="16" ht="15" hidden="0" customHeight="1">
      <x:c r="A16" s="7" t="str">
        <x:v>SIAJ-0496</x:v>
      </x:c>
      <x:c r="B16" s="7" t="str">
        <x:v>CONTAINER</x:v>
      </x:c>
      <x:c r="C16" s="7" t="str">
        <x:v>MEDIUM</x:v>
      </x:c>
      <x:c r="D16" s="8" t="str">
        <x:v>Contenedor gnupg2-2.4.7-21+deb13u1</x:v>
      </x:c>
      <x:c r="E16" s="7" t="str">
        <x:v>gnupg2</x:v>
      </x:c>
      <x:c r="F16" s="7" t="str">
        <x:v>2.4.7-21+deb13u1</x:v>
      </x:c>
      <x:c r="G16" s="7" t="str">
        <x:v>CWE-347</x:v>
      </x:c>
      <x:c r="H16" s="7" t="str">
        <x:v>CVE-2025-68972</x:v>
      </x:c>
      <x:c r="I16" s="7" t="n">
        <x:v>208</x:v>
      </x:c>
      <x:c r="J16" s="9" t="str">
        <x:v>PENDIENTE</x:v>
      </x:c>
      <x:c r="K16" s="10" t="n">
        <x:v>46583</x:v>
      </x:c>
      <x:c r="L16" s="7" t="str">
        <x:v>Avance 2027-07-15</x:v>
      </x:c>
      <x:c r="M16" s="8" t="str">
        <x:v>Actualizar imagen/base y validar compatibilidad en despliegue.</x:v>
      </x:c>
      <x:c r="N16" s="17"/>
      <x:c r="O16" s="17"/>
    </x:row>
    <x:row r="17" ht="15" hidden="0" customHeight="1">
      <x:c r="A17" s="7" t="str">
        <x:v>SIAJ-0497</x:v>
      </x:c>
      <x:c r="B17" s="7" t="str">
        <x:v>CONTAINER</x:v>
      </x:c>
      <x:c r="C17" s="7" t="str">
        <x:v>MEDIUM</x:v>
      </x:c>
      <x:c r="D17" s="8" t="str">
        <x:v>Contenedor gnutls28-3.8.9-3+deb13u4</x:v>
      </x:c>
      <x:c r="E17" s="7" t="str">
        <x:v>gnutls28</x:v>
      </x:c>
      <x:c r="F17" s="7" t="str">
        <x:v>3.8.9-3+deb13u4</x:v>
      </x:c>
      <x:c r="G17" s="7" t="str">
        <x:v>CWE-326</x:v>
      </x:c>
      <x:c r="H17" s="7" t="str">
        <x:v>CVE-2011-3389</x:v>
      </x:c>
      <x:c r="I17" s="7" t="n">
        <x:v>208</x:v>
      </x:c>
      <x:c r="J17" s="9" t="str">
        <x:v>PENDIENTE</x:v>
      </x:c>
      <x:c r="K17" s="10" t="n">
        <x:v>46583</x:v>
      </x:c>
      <x:c r="L17" s="7" t="str">
        <x:v>Avance 2027-07-15</x:v>
      </x:c>
      <x:c r="M17" s="8" t="str">
        <x:v>Actualizar imagen/base y validar compatibilidad en despliegue.</x:v>
      </x:c>
      <x:c r="N17" s="17"/>
      <x:c r="O17" s="17"/>
    </x:row>
    <x:row r="18" ht="15" hidden="0" customHeight="1">
      <x:c r="A18" s="7" t="str">
        <x:v>SIAJ-0402</x:v>
      </x:c>
      <x:c r="B18" s="7" t="str">
        <x:v>CONTAINER</x:v>
      </x:c>
      <x:c r="C18" s="7" t="str">
        <x:v>MEDIUM</x:v>
      </x:c>
      <x:c r="D18" s="8" t="str">
        <x:v>Contenedor golang-1.24-1.24.6</x:v>
      </x:c>
      <x:c r="E18" s="7" t="str">
        <x:v>golang-1.24</x:v>
      </x:c>
      <x:c r="F18" s="7" t="str">
        <x:v>1.24.6</x:v>
      </x:c>
      <x:c r="G18" s="7" t="str">
        <x:v>CWE-770</x:v>
      </x:c>
      <x:c r="H18" s="7" t="str">
        <x:v>CVE-2025-61724</x:v>
      </x:c>
      <x:c r="I18" s="7" t="n">
        <x:v>183</x:v>
      </x:c>
      <x:c r="J18" s="9" t="str">
        <x:v>PENDIENTE</x:v>
      </x:c>
      <x:c r="K18" s="10" t="n">
        <x:v>46583</x:v>
      </x:c>
      <x:c r="L18" s="7" t="str">
        <x:v>Avance 2027-07-15</x:v>
      </x:c>
      <x:c r="M18" s="8" t="str">
        <x:v>Actualizar imagen/base y validar compatibilidad en despliegue.</x:v>
      </x:c>
      <x:c r="N18" s="17"/>
      <x:c r="O18" s="17"/>
    </x:row>
    <x:row r="19" ht="15" hidden="0" customHeight="1">
      <x:c r="A19" s="7" t="str">
        <x:v>SIAJ-0403</x:v>
      </x:c>
      <x:c r="B19" s="7" t="str">
        <x:v>CONTAINER</x:v>
      </x:c>
      <x:c r="C19" s="7" t="str">
        <x:v>MEDIUM</x:v>
      </x:c>
      <x:c r="D19" s="8" t="str">
        <x:v>Contenedor golang-1.24-1.24.6</x:v>
      </x:c>
      <x:c r="E19" s="7" t="str">
        <x:v>golang-1.24</x:v>
      </x:c>
      <x:c r="F19" s="7" t="str">
        <x:v>1.24.6</x:v>
      </x:c>
      <x:c r="G19" s="7" t="str">
        <x:v>CWE-532</x:v>
      </x:c>
      <x:c r="H19" s="7" t="str">
        <x:v>CVE-2025-58189</x:v>
      </x:c>
      <x:c r="I19" s="7" t="n">
        <x:v>183</x:v>
      </x:c>
      <x:c r="J19" s="9" t="str">
        <x:v>PENDIENTE</x:v>
      </x:c>
      <x:c r="K19" s="10" t="n">
        <x:v>46614</x:v>
      </x:c>
      <x:c r="L19" s="7" t="str">
        <x:v>Avance 2027-08-15</x:v>
      </x:c>
      <x:c r="M19" s="8" t="str">
        <x:v>Actualizar imagen/base y validar compatibilidad en despliegue.</x:v>
      </x:c>
      <x:c r="N19" s="17"/>
      <x:c r="O19" s="17"/>
    </x:row>
    <x:row r="20" ht="15" hidden="0" customHeight="1">
      <x:c r="A20" s="7" t="str">
        <x:v>SIAJ-0404</x:v>
      </x:c>
      <x:c r="B20" s="7" t="str">
        <x:v>CONTAINER</x:v>
      </x:c>
      <x:c r="C20" s="7" t="str">
        <x:v>MEDIUM</x:v>
      </x:c>
      <x:c r="D20" s="8" t="str">
        <x:v>Contenedor golang-1.24-1.24.6</x:v>
      </x:c>
      <x:c r="E20" s="7" t="str">
        <x:v>golang-1.24</x:v>
      </x:c>
      <x:c r="F20" s="7" t="str">
        <x:v>1.24.6</x:v>
      </x:c>
      <x:c r="G20" s="7" t="str"/>
      <x:c r="H20" s="7" t="str">
        <x:v>CVE-2026-42507</x:v>
      </x:c>
      <x:c r="I20" s="7" t="n">
        <x:v>184</x:v>
      </x:c>
      <x:c r="J20" s="9" t="str">
        <x:v>PENDIENTE</x:v>
      </x:c>
      <x:c r="K20" s="10" t="n">
        <x:v>46614</x:v>
      </x:c>
      <x:c r="L20" s="7" t="str">
        <x:v>Avance 2027-08-15</x:v>
      </x:c>
      <x:c r="M20" s="8" t="str">
        <x:v>Actualizar imagen/base y validar compatibilidad en despliegue.</x:v>
      </x:c>
      <x:c r="N20" s="17"/>
      <x:c r="O20" s="17"/>
    </x:row>
    <x:row r="21" ht="15" hidden="0" customHeight="1">
      <x:c r="A21" s="7" t="str">
        <x:v>SIAJ-0405</x:v>
      </x:c>
      <x:c r="B21" s="7" t="str">
        <x:v>CONTAINER</x:v>
      </x:c>
      <x:c r="C21" s="7" t="str">
        <x:v>MEDIUM</x:v>
      </x:c>
      <x:c r="D21" s="8" t="str">
        <x:v>Contenedor golang-1.24-1.24.6</x:v>
      </x:c>
      <x:c r="E21" s="7" t="str">
        <x:v>golang-1.24</x:v>
      </x:c>
      <x:c r="F21" s="7" t="str">
        <x:v>1.24.6</x:v>
      </x:c>
      <x:c r="G21" s="7" t="str">
        <x:v>CWE-606</x:v>
      </x:c>
      <x:c r="H21" s="7" t="str">
        <x:v>CVE-2026-27145</x:v>
      </x:c>
      <x:c r="I21" s="7" t="n">
        <x:v>184</x:v>
      </x:c>
      <x:c r="J21" s="9" t="str">
        <x:v>PENDIENTE</x:v>
      </x:c>
      <x:c r="K21" s="10" t="n">
        <x:v>46614</x:v>
      </x:c>
      <x:c r="L21" s="7" t="str">
        <x:v>Avance 2027-08-15</x:v>
      </x:c>
      <x:c r="M21" s="8" t="str">
        <x:v>Actualizar imagen/base y validar compatibilidad en despliegue.</x:v>
      </x:c>
      <x:c r="N21" s="17"/>
      <x:c r="O21" s="17"/>
    </x:row>
    <x:row r="22" ht="15" hidden="0" customHeight="1">
      <x:c r="A22" s="7" t="str">
        <x:v>SIAJ-0406</x:v>
      </x:c>
      <x:c r="B22" s="7" t="str">
        <x:v>CONTAINER</x:v>
      </x:c>
      <x:c r="C22" s="7" t="str">
        <x:v>MEDIUM</x:v>
      </x:c>
      <x:c r="D22" s="8" t="str">
        <x:v>Contenedor golang-1.24-1.24.6</x:v>
      </x:c>
      <x:c r="E22" s="7" t="str">
        <x:v>golang-1.24</x:v>
      </x:c>
      <x:c r="F22" s="7" t="str">
        <x:v>1.24.6</x:v>
      </x:c>
      <x:c r="G22" s="7" t="str">
        <x:v>NVD-CWE-noinfo</x:v>
      </x:c>
      <x:c r="H22" s="7" t="str">
        <x:v>CVE-2025-47912</x:v>
      </x:c>
      <x:c r="I22" s="7" t="n">
        <x:v>184</x:v>
      </x:c>
      <x:c r="J22" s="9" t="str">
        <x:v>PENDIENTE</x:v>
      </x:c>
      <x:c r="K22" s="10" t="n">
        <x:v>46614</x:v>
      </x:c>
      <x:c r="L22" s="7" t="str">
        <x:v>Avance 2027-08-15</x:v>
      </x:c>
      <x:c r="M22" s="8" t="str">
        <x:v>Actualizar imagen/base y validar compatibilidad en despliegue.</x:v>
      </x:c>
      <x:c r="N22" s="17"/>
      <x:c r="O22" s="17"/>
    </x:row>
    <x:row r="23" ht="15" hidden="0" customHeight="1">
      <x:c r="A23" s="7" t="str">
        <x:v>SIAJ-0407</x:v>
      </x:c>
      <x:c r="B23" s="7" t="str">
        <x:v>CONTAINER</x:v>
      </x:c>
      <x:c r="C23" s="7" t="str">
        <x:v>MEDIUM</x:v>
      </x:c>
      <x:c r="D23" s="8" t="str">
        <x:v>Contenedor golang-1.24-1.24.6</x:v>
      </x:c>
      <x:c r="E23" s="7" t="str">
        <x:v>golang-1.24</x:v>
      </x:c>
      <x:c r="F23" s="7" t="str">
        <x:v>1.24.6</x:v>
      </x:c>
      <x:c r="G23" s="7" t="str">
        <x:v>CWE-770</x:v>
      </x:c>
      <x:c r="H23" s="7" t="str">
        <x:v>CVE-2025-58185</x:v>
      </x:c>
      <x:c r="I23" s="7" t="n">
        <x:v>185</x:v>
      </x:c>
      <x:c r="J23" s="9" t="str">
        <x:v>PENDIENTE</x:v>
      </x:c>
      <x:c r="K23" s="10" t="n">
        <x:v>46614</x:v>
      </x:c>
      <x:c r="L23" s="7" t="str">
        <x:v>Avance 2027-08-15</x:v>
      </x:c>
      <x:c r="M23" s="8" t="str">
        <x:v>Actualizar imagen/base y validar compatibilidad en despliegue.</x:v>
      </x:c>
      <x:c r="N23" s="17"/>
      <x:c r="O23" s="17"/>
    </x:row>
    <x:row r="24" ht="15" hidden="0" customHeight="1">
      <x:c r="A24" s="7" t="str">
        <x:v>SIAJ-0408</x:v>
      </x:c>
      <x:c r="B24" s="7" t="str">
        <x:v>CONTAINER</x:v>
      </x:c>
      <x:c r="C24" s="7" t="str">
        <x:v>MEDIUM</x:v>
      </x:c>
      <x:c r="D24" s="8" t="str">
        <x:v>Contenedor golang-1.24-1.24.6</x:v>
      </x:c>
      <x:c r="E24" s="7" t="str">
        <x:v>golang-1.24</x:v>
      </x:c>
      <x:c r="F24" s="7" t="str">
        <x:v>1.24.6</x:v>
      </x:c>
      <x:c r="G24" s="7" t="str">
        <x:v>CWE-295</x:v>
      </x:c>
      <x:c r="H24" s="7" t="str">
        <x:v>CVE-2025-61727</x:v>
      </x:c>
      <x:c r="I24" s="7" t="n">
        <x:v>185</x:v>
      </x:c>
      <x:c r="J24" s="9" t="str">
        <x:v>PENDIENTE</x:v>
      </x:c>
      <x:c r="K24" s="10" t="n">
        <x:v>46614</x:v>
      </x:c>
      <x:c r="L24" s="7" t="str">
        <x:v>Avance 2027-08-15</x:v>
      </x:c>
      <x:c r="M24" s="8" t="str">
        <x:v>Actualizar imagen/base y validar compatibilidad en despliegue.</x:v>
      </x:c>
      <x:c r="N24" s="17"/>
      <x:c r="O24" s="17"/>
    </x:row>
    <x:row r="25" ht="15" hidden="0" customHeight="1">
      <x:c r="A25" s="7" t="str">
        <x:v>SIAJ-0409</x:v>
      </x:c>
      <x:c r="B25" s="7" t="str">
        <x:v>CONTAINER</x:v>
      </x:c>
      <x:c r="C25" s="7" t="str">
        <x:v>MEDIUM</x:v>
      </x:c>
      <x:c r="D25" s="8" t="str">
        <x:v>Contenedor golang-1.24-1.24.6</x:v>
      </x:c>
      <x:c r="E25" s="7" t="str">
        <x:v>golang-1.24</x:v>
      </x:c>
      <x:c r="F25" s="7" t="str">
        <x:v>1.24.6</x:v>
      </x:c>
      <x:c r="G25" s="7" t="str">
        <x:v>NVD-CWE-Other</x:v>
      </x:c>
      <x:c r="H25" s="7" t="str">
        <x:v>CVE-2025-47906</x:v>
      </x:c>
      <x:c r="I25" s="7" t="n">
        <x:v>185</x:v>
      </x:c>
      <x:c r="J25" s="9" t="str">
        <x:v>PENDIENTE</x:v>
      </x:c>
      <x:c r="K25" s="10" t="n">
        <x:v>46614</x:v>
      </x:c>
      <x:c r="L25" s="7" t="str">
        <x:v>Avance 2027-08-15</x:v>
      </x:c>
      <x:c r="M25" s="8" t="str">
        <x:v>Actualizar imagen/base y validar compatibilidad en despliegue.</x:v>
      </x:c>
      <x:c r="N25" s="17"/>
      <x:c r="O25" s="17"/>
    </x:row>
    <x:row r="26" ht="15" hidden="0" customHeight="1">
      <x:c r="A26" s="7" t="str">
        <x:v>SIAJ-0410</x:v>
      </x:c>
      <x:c r="B26" s="7" t="str">
        <x:v>CONTAINER</x:v>
      </x:c>
      <x:c r="C26" s="7" t="str">
        <x:v>MEDIUM</x:v>
      </x:c>
      <x:c r="D26" s="8" t="str">
        <x:v>Contenedor golang-1.24-1.24.6</x:v>
      </x:c>
      <x:c r="E26" s="7" t="str">
        <x:v>golang-1.24</x:v>
      </x:c>
      <x:c r="F26" s="7" t="str">
        <x:v>1.24.6</x:v>
      </x:c>
      <x:c r="G26" s="7" t="str"/>
      <x:c r="H26" s="7" t="str">
        <x:v>CVE-2025-58183</x:v>
      </x:c>
      <x:c r="I26" s="7" t="n">
        <x:v>185</x:v>
      </x:c>
      <x:c r="J26" s="9" t="str">
        <x:v>PENDIENTE</x:v>
      </x:c>
      <x:c r="K26" s="10" t="n">
        <x:v>46614</x:v>
      </x:c>
      <x:c r="L26" s="7" t="str">
        <x:v>Avance 2027-08-15</x:v>
      </x:c>
      <x:c r="M26" s="8" t="str">
        <x:v>Actualizar imagen/base y validar compatibilidad en despliegue.</x:v>
      </x:c>
      <x:c r="N26" s="17"/>
      <x:c r="O26" s="17"/>
    </x:row>
    <x:row r="27" ht="15" hidden="0" customHeight="1">
      <x:c r="A27" s="7" t="str">
        <x:v>SIAJ-0411</x:v>
      </x:c>
      <x:c r="B27" s="7" t="str">
        <x:v>CONTAINER</x:v>
      </x:c>
      <x:c r="C27" s="7" t="str">
        <x:v>MEDIUM</x:v>
      </x:c>
      <x:c r="D27" s="8" t="str">
        <x:v>Contenedor golang-1.24-1.24.6</x:v>
      </x:c>
      <x:c r="E27" s="7" t="str">
        <x:v>golang-1.24</x:v>
      </x:c>
      <x:c r="F27" s="7" t="str">
        <x:v>1.24.6</x:v>
      </x:c>
      <x:c r="G27" s="7" t="str"/>
      <x:c r="H27" s="7" t="str">
        <x:v>CVE-2025-58186</x:v>
      </x:c>
      <x:c r="I27" s="7" t="n">
        <x:v>186</x:v>
      </x:c>
      <x:c r="J27" s="9" t="str">
        <x:v>PENDIENTE</x:v>
      </x:c>
      <x:c r="K27" s="10" t="n">
        <x:v>46614</x:v>
      </x:c>
      <x:c r="L27" s="7" t="str">
        <x:v>Avance 2027-08-15</x:v>
      </x:c>
      <x:c r="M27" s="8" t="str">
        <x:v>Actualizar imagen/base y validar compatibilidad en despliegue.</x:v>
      </x:c>
      <x:c r="N27" s="17"/>
      <x:c r="O27" s="17"/>
    </x:row>
    <x:row r="28" ht="15" hidden="0" customHeight="1">
      <x:c r="A28" s="7" t="str">
        <x:v>SIAJ-0412</x:v>
      </x:c>
      <x:c r="B28" s="7" t="str">
        <x:v>CONTAINER</x:v>
      </x:c>
      <x:c r="C28" s="7" t="str">
        <x:v>MEDIUM</x:v>
      </x:c>
      <x:c r="D28" s="8" t="str">
        <x:v>Contenedor golang-1.24-1.24.6</x:v>
      </x:c>
      <x:c r="E28" s="7" t="str">
        <x:v>golang-1.24</x:v>
      </x:c>
      <x:c r="F28" s="7" t="str">
        <x:v>1.24.6</x:v>
      </x:c>
      <x:c r="G28" s="7" t="str">
        <x:v>CWE-770</x:v>
      </x:c>
      <x:c r="H28" s="7" t="str">
        <x:v>CVE-2025-61728</x:v>
      </x:c>
      <x:c r="I28" s="7" t="n">
        <x:v>186</x:v>
      </x:c>
      <x:c r="J28" s="9" t="str">
        <x:v>PENDIENTE</x:v>
      </x:c>
      <x:c r="K28" s="10" t="n">
        <x:v>46614</x:v>
      </x:c>
      <x:c r="L28" s="7" t="str">
        <x:v>Avance 2027-08-15</x:v>
      </x:c>
      <x:c r="M28" s="8" t="str">
        <x:v>Actualizar imagen/base y validar compatibilidad en despliegue.</x:v>
      </x:c>
      <x:c r="N28" s="17"/>
      <x:c r="O28" s="17"/>
    </x:row>
    <x:row r="29" ht="15" hidden="0" customHeight="1">
      <x:c r="A29" s="7" t="str">
        <x:v>SIAJ-0413</x:v>
      </x:c>
      <x:c r="B29" s="7" t="str">
        <x:v>CONTAINER</x:v>
      </x:c>
      <x:c r="C29" s="7" t="str">
        <x:v>MEDIUM</x:v>
      </x:c>
      <x:c r="D29" s="8" t="str">
        <x:v>Contenedor golang-1.24-1.24.6</x:v>
      </x:c>
      <x:c r="E29" s="7" t="str">
        <x:v>golang-1.24</x:v>
      </x:c>
      <x:c r="F29" s="7" t="str">
        <x:v>1.24.6</x:v>
      </x:c>
      <x:c r="G29" s="7" t="str">
        <x:v>NVD-CWE-noinfo</x:v>
      </x:c>
      <x:c r="H29" s="7" t="str">
        <x:v>CVE-2025-61730</x:v>
      </x:c>
      <x:c r="I29" s="7" t="n">
        <x:v>186</x:v>
      </x:c>
      <x:c r="J29" s="9" t="str">
        <x:v>PENDIENTE</x:v>
      </x:c>
      <x:c r="K29" s="10" t="n">
        <x:v>46614</x:v>
      </x:c>
      <x:c r="L29" s="7" t="str">
        <x:v>Avance 2027-08-15</x:v>
      </x:c>
      <x:c r="M29" s="8" t="str">
        <x:v>Actualizar imagen/base y validar compatibilidad en despliegue.</x:v>
      </x:c>
      <x:c r="N29" s="17"/>
      <x:c r="O29" s="17"/>
    </x:row>
    <x:row r="30" ht="15" hidden="0" customHeight="1">
      <x:c r="A30" s="7" t="str">
        <x:v>SIAJ-0414</x:v>
      </x:c>
      <x:c r="B30" s="7" t="str">
        <x:v>CONTAINER</x:v>
      </x:c>
      <x:c r="C30" s="7" t="str">
        <x:v>MEDIUM</x:v>
      </x:c>
      <x:c r="D30" s="8" t="str">
        <x:v>Contenedor golang-1.24-1.24.6</x:v>
      </x:c>
      <x:c r="E30" s="7" t="str">
        <x:v>golang-1.24</x:v>
      </x:c>
      <x:c r="F30" s="7" t="str">
        <x:v>1.24.6</x:v>
      </x:c>
      <x:c r="G30" s="7" t="str">
        <x:v>CWE-79</x:v>
      </x:c>
      <x:c r="H30" s="7" t="str">
        <x:v>CVE-2026-27142</x:v>
      </x:c>
      <x:c r="I30" s="7" t="n">
        <x:v>186</x:v>
      </x:c>
      <x:c r="J30" s="9" t="str">
        <x:v>PENDIENTE</x:v>
      </x:c>
      <x:c r="K30" s="10" t="n">
        <x:v>46614</x:v>
      </x:c>
      <x:c r="L30" s="7" t="str">
        <x:v>Avance 2027-08-15</x:v>
      </x:c>
      <x:c r="M30" s="8" t="str">
        <x:v>Actualizar imagen/base y validar compatibilidad en despliegue.</x:v>
      </x:c>
      <x:c r="N30" s="17"/>
      <x:c r="O30" s="17"/>
    </x:row>
    <x:row r="31" ht="15" hidden="0" customHeight="1">
      <x:c r="A31" s="7" t="str">
        <x:v>SIAJ-0415</x:v>
      </x:c>
      <x:c r="B31" s="7" t="str">
        <x:v>CONTAINER</x:v>
      </x:c>
      <x:c r="C31" s="7" t="str">
        <x:v>MEDIUM</x:v>
      </x:c>
      <x:c r="D31" s="8" t="str">
        <x:v>Contenedor golang-1.24-1.24.6</x:v>
      </x:c>
      <x:c r="E31" s="7" t="str">
        <x:v>golang-1.24</x:v>
      </x:c>
      <x:c r="F31" s="7" t="str">
        <x:v>1.24.6</x:v>
      </x:c>
      <x:c r="G31" s="7" t="str">
        <x:v>CWE-201</x:v>
      </x:c>
      <x:c r="H31" s="7" t="str">
        <x:v>CVE-2026-42505</x:v>
      </x:c>
      <x:c r="I31" s="7" t="n">
        <x:v>187</x:v>
      </x:c>
      <x:c r="J31" s="9" t="str">
        <x:v>PENDIENTE</x:v>
      </x:c>
      <x:c r="K31" s="10" t="n">
        <x:v>46614</x:v>
      </x:c>
      <x:c r="L31" s="7" t="str">
        <x:v>Avance 2027-08-15</x:v>
      </x:c>
      <x:c r="M31" s="8" t="str">
        <x:v>Actualizar imagen/base y validar compatibilidad en despliegue.</x:v>
      </x:c>
      <x:c r="N31" s="17"/>
      <x:c r="O31" s="17"/>
    </x:row>
    <x:row r="32" ht="15" hidden="0" customHeight="1">
      <x:c r="A32" s="7" t="str">
        <x:v>SIAJ-0416</x:v>
      </x:c>
      <x:c r="B32" s="7" t="str">
        <x:v>CONTAINER</x:v>
      </x:c>
      <x:c r="C32" s="7" t="str">
        <x:v>MEDIUM</x:v>
      </x:c>
      <x:c r="D32" s="8" t="str">
        <x:v>Contenedor golang-1.24-1.24.6</x:v>
      </x:c>
      <x:c r="E32" s="7" t="str">
        <x:v>golang-1.24</x:v>
      </x:c>
      <x:c r="F32" s="7" t="str">
        <x:v>1.24.6</x:v>
      </x:c>
      <x:c r="G32" s="7" t="str">
        <x:v>CWE-79</x:v>
      </x:c>
      <x:c r="H32" s="7" t="str">
        <x:v>CVE-2026-32289</x:v>
      </x:c>
      <x:c r="I32" s="7" t="n">
        <x:v>187</x:v>
      </x:c>
      <x:c r="J32" s="9" t="str">
        <x:v>PENDIENTE</x:v>
      </x:c>
      <x:c r="K32" s="10" t="n">
        <x:v>46614</x:v>
      </x:c>
      <x:c r="L32" s="7" t="str">
        <x:v>Avance 2027-08-15</x:v>
      </x:c>
      <x:c r="M32" s="8" t="str">
        <x:v>Actualizar imagen/base y validar compatibilidad en despliegue.</x:v>
      </x:c>
      <x:c r="N32" s="17"/>
      <x:c r="O32" s="17"/>
    </x:row>
    <x:row r="33" ht="15" hidden="0" customHeight="1">
      <x:c r="A33" s="7" t="str">
        <x:v>SIAJ-0417</x:v>
      </x:c>
      <x:c r="B33" s="7" t="str">
        <x:v>CONTAINER</x:v>
      </x:c>
      <x:c r="C33" s="7" t="str">
        <x:v>MEDIUM</x:v>
      </x:c>
      <x:c r="D33" s="8" t="str">
        <x:v>Contenedor golang-1.24-1.24.6</x:v>
      </x:c>
      <x:c r="E33" s="7" t="str">
        <x:v>golang-1.24</x:v>
      </x:c>
      <x:c r="F33" s="7" t="str">
        <x:v>1.24.6</x:v>
      </x:c>
      <x:c r="G33" s="7" t="str">
        <x:v>CWE-770</x:v>
      </x:c>
      <x:c r="H33" s="7" t="str">
        <x:v>CVE-2026-32288</x:v>
      </x:c>
      <x:c r="I33" s="7" t="n">
        <x:v>187</x:v>
      </x:c>
      <x:c r="J33" s="9" t="str">
        <x:v>PENDIENTE</x:v>
      </x:c>
      <x:c r="K33" s="10" t="n">
        <x:v>46614</x:v>
      </x:c>
      <x:c r="L33" s="7" t="str">
        <x:v>Avance 2027-08-15</x:v>
      </x:c>
      <x:c r="M33" s="8" t="str">
        <x:v>Actualizar imagen/base y validar compatibilidad en despliegue.</x:v>
      </x:c>
      <x:c r="N33" s="17"/>
      <x:c r="O33" s="17"/>
    </x:row>
    <x:row r="34" ht="15" hidden="0" customHeight="1">
      <x:c r="A34" s="7" t="str">
        <x:v>SIAJ-0418</x:v>
      </x:c>
      <x:c r="B34" s="7" t="str">
        <x:v>CONTAINER</x:v>
      </x:c>
      <x:c r="C34" s="7" t="str">
        <x:v>MEDIUM</x:v>
      </x:c>
      <x:c r="D34" s="8" t="str">
        <x:v>Contenedor golang-1.24-1.24.6</x:v>
      </x:c>
      <x:c r="E34" s="7" t="str">
        <x:v>golang-1.24</x:v>
      </x:c>
      <x:c r="F34" s="7" t="str">
        <x:v>1.24.6</x:v>
      </x:c>
      <x:c r="G34" s="7" t="str">
        <x:v>CWE-59</x:v>
      </x:c>
      <x:c r="H34" s="7" t="str">
        <x:v>CVE-2026-32282</x:v>
      </x:c>
      <x:c r="I34" s="7" t="n">
        <x:v>187</x:v>
      </x:c>
      <x:c r="J34" s="9" t="str">
        <x:v>PENDIENTE</x:v>
      </x:c>
      <x:c r="K34" s="10" t="n">
        <x:v>46614</x:v>
      </x:c>
      <x:c r="L34" s="7" t="str">
        <x:v>Avance 2027-08-15</x:v>
      </x:c>
      <x:c r="M34" s="8" t="str">
        <x:v>Actualizar imagen/base y validar compatibilidad en despliegue.</x:v>
      </x:c>
      <x:c r="N34" s="17"/>
      <x:c r="O34" s="17"/>
    </x:row>
    <x:row r="35" ht="15" hidden="0" customHeight="1">
      <x:c r="A35" s="7" t="str">
        <x:v>SIAJ-0419</x:v>
      </x:c>
      <x:c r="B35" s="7" t="str">
        <x:v>CONTAINER</x:v>
      </x:c>
      <x:c r="C35" s="7" t="str">
        <x:v>MEDIUM</x:v>
      </x:c>
      <x:c r="D35" s="8" t="str">
        <x:v>Contenedor golang-1.24-1.24.6</x:v>
      </x:c>
      <x:c r="E35" s="7" t="str">
        <x:v>golang-1.24</x:v>
      </x:c>
      <x:c r="F35" s="7" t="str">
        <x:v>1.24.6</x:v>
      </x:c>
      <x:c r="G35" s="7" t="str">
        <x:v>CWE-116</x:v>
      </x:c>
      <x:c r="H35" s="7" t="str">
        <x:v>CVE-2026-39826</x:v>
      </x:c>
      <x:c r="I35" s="7" t="n">
        <x:v>188</x:v>
      </x:c>
      <x:c r="J35" s="9" t="str">
        <x:v>PENDIENTE</x:v>
      </x:c>
      <x:c r="K35" s="10" t="n">
        <x:v>46614</x:v>
      </x:c>
      <x:c r="L35" s="7" t="str">
        <x:v>Avance 2027-08-15</x:v>
      </x:c>
      <x:c r="M35" s="8" t="str">
        <x:v>Actualizar imagen/base y validar compatibilidad en despliegue.</x:v>
      </x:c>
      <x:c r="N35" s="17"/>
      <x:c r="O35" s="17"/>
    </x:row>
    <x:row r="36" ht="15" hidden="0" customHeight="1">
      <x:c r="A36" s="7" t="str">
        <x:v>SIAJ-0420</x:v>
      </x:c>
      <x:c r="B36" s="7" t="str">
        <x:v>CONTAINER</x:v>
      </x:c>
      <x:c r="C36" s="7" t="str">
        <x:v>MEDIUM</x:v>
      </x:c>
      <x:c r="D36" s="8" t="str">
        <x:v>Contenedor golang-1.24-1.24.6</x:v>
      </x:c>
      <x:c r="E36" s="7" t="str">
        <x:v>golang-1.24</x:v>
      </x:c>
      <x:c r="F36" s="7" t="str">
        <x:v>1.24.6</x:v>
      </x:c>
      <x:c r="G36" s="7" t="str">
        <x:v>NVD-CWE-noinfo</x:v>
      </x:c>
      <x:c r="H36" s="7" t="str">
        <x:v>CVE-2026-39825</x:v>
      </x:c>
      <x:c r="I36" s="7" t="n">
        <x:v>188</x:v>
      </x:c>
      <x:c r="J36" s="9" t="str">
        <x:v>PENDIENTE</x:v>
      </x:c>
      <x:c r="K36" s="10" t="n">
        <x:v>46614</x:v>
      </x:c>
      <x:c r="L36" s="7" t="str">
        <x:v>Avance 2027-08-15</x:v>
      </x:c>
      <x:c r="M36" s="8" t="str">
        <x:v>Actualizar imagen/base y validar compatibilidad en despliegue.</x:v>
      </x:c>
      <x:c r="N36" s="17"/>
      <x:c r="O36" s="17"/>
    </x:row>
    <x:row r="37" ht="15" hidden="0" customHeight="1">
      <x:c r="A37" s="7" t="str">
        <x:v>SIAJ-0421</x:v>
      </x:c>
      <x:c r="B37" s="7" t="str">
        <x:v>CONTAINER</x:v>
      </x:c>
      <x:c r="C37" s="7" t="str">
        <x:v>MEDIUM</x:v>
      </x:c>
      <x:c r="D37" s="8" t="str">
        <x:v>Contenedor golang-1.24-1.24.6</x:v>
      </x:c>
      <x:c r="E37" s="7" t="str">
        <x:v>golang-1.24</x:v>
      </x:c>
      <x:c r="F37" s="7" t="str">
        <x:v>1.24.6</x:v>
      </x:c>
      <x:c r="G37" s="7" t="str">
        <x:v>CWE-79</x:v>
      </x:c>
      <x:c r="H37" s="7" t="str">
        <x:v>CVE-2026-39823</x:v>
      </x:c>
      <x:c r="I37" s="7" t="n">
        <x:v>188</x:v>
      </x:c>
      <x:c r="J37" s="9" t="str">
        <x:v>PENDIENTE</x:v>
      </x:c>
      <x:c r="K37" s="10" t="n">
        <x:v>46645</x:v>
      </x:c>
      <x:c r="L37" s="7" t="str">
        <x:v>Avance 2027-09-15</x:v>
      </x:c>
      <x:c r="M37" s="8" t="str">
        <x:v>Actualizar imagen/base y validar compatibilidad en despliegue.</x:v>
      </x:c>
      <x:c r="N37" s="17"/>
      <x:c r="O37" s="17"/>
    </x:row>
    <x:row r="38" ht="15" hidden="0" customHeight="1">
      <x:c r="A38" s="7" t="str">
        <x:v>SIAJ-0422</x:v>
      </x:c>
      <x:c r="B38" s="7" t="str">
        <x:v>CONTAINER</x:v>
      </x:c>
      <x:c r="C38" s="7" t="str">
        <x:v>MEDIUM</x:v>
      </x:c>
      <x:c r="D38" s="8" t="str">
        <x:v>Contenedor golang-1.24-1.24.6</x:v>
      </x:c>
      <x:c r="E38" s="7" t="str">
        <x:v>golang-1.24</x:v>
      </x:c>
      <x:c r="F38" s="7" t="str">
        <x:v>1.24.6</x:v>
      </x:c>
      <x:c r="G38" s="7" t="str">
        <x:v>CWE-59</x:v>
      </x:c>
      <x:c r="H38" s="7" t="str">
        <x:v>CVE-2026-39819</x:v>
      </x:c>
      <x:c r="I38" s="7" t="n">
        <x:v>188</x:v>
      </x:c>
      <x:c r="J38" s="9" t="str">
        <x:v>PENDIENTE</x:v>
      </x:c>
      <x:c r="K38" s="10" t="n">
        <x:v>46645</x:v>
      </x:c>
      <x:c r="L38" s="7" t="str">
        <x:v>Avance 2027-09-15</x:v>
      </x:c>
      <x:c r="M38" s="8" t="str">
        <x:v>Actualizar imagen/base y validar compatibilidad en despliegue.</x:v>
      </x:c>
      <x:c r="N38" s="17"/>
      <x:c r="O38" s="17"/>
    </x:row>
    <x:row r="39" ht="15" hidden="0" customHeight="1">
      <x:c r="A39" s="7" t="str">
        <x:v>SIAJ-0423</x:v>
      </x:c>
      <x:c r="B39" s="7" t="str">
        <x:v>CONTAINER</x:v>
      </x:c>
      <x:c r="C39" s="7" t="str">
        <x:v>MEDIUM</x:v>
      </x:c>
      <x:c r="D39" s="8" t="str">
        <x:v>Contenedor golang-1.24-1.24.6</x:v>
      </x:c>
      <x:c r="E39" s="7" t="str">
        <x:v>golang-1.24</x:v>
      </x:c>
      <x:c r="F39" s="7" t="str">
        <x:v>1.24.6</x:v>
      </x:c>
      <x:c r="G39" s="7" t="str">
        <x:v>CWE-787</x:v>
      </x:c>
      <x:c r="H39" s="7" t="str">
        <x:v>CVE-2026-39817</x:v>
      </x:c>
      <x:c r="I39" s="7" t="n">
        <x:v>189</x:v>
      </x:c>
      <x:c r="J39" s="9" t="str">
        <x:v>PENDIENTE</x:v>
      </x:c>
      <x:c r="K39" s="10" t="n">
        <x:v>46645</x:v>
      </x:c>
      <x:c r="L39" s="7" t="str">
        <x:v>Avance 2027-09-15</x:v>
      </x:c>
      <x:c r="M39" s="8" t="str">
        <x:v>Actualizar imagen/base y validar compatibilidad en despliegue.</x:v>
      </x:c>
      <x:c r="N39" s="17"/>
      <x:c r="O39" s="17"/>
    </x:row>
    <x:row r="40" ht="15" hidden="0" customHeight="1">
      <x:c r="A40" s="7" t="str">
        <x:v>SIAJ-0500</x:v>
      </x:c>
      <x:c r="B40" s="7" t="str">
        <x:v>CONTAINER</x:v>
      </x:c>
      <x:c r="C40" s="7" t="str">
        <x:v>MEDIUM</x:v>
      </x:c>
      <x:c r="D40" s="8" t="str">
        <x:v>Contenedor krb5-1.21.3-5+deb13u1</x:v>
      </x:c>
      <x:c r="E40" s="7" t="str">
        <x:v>krb5</x:v>
      </x:c>
      <x:c r="F40" s="7" t="str">
        <x:v>1.21.3-5+deb13u1</x:v>
      </x:c>
      <x:c r="G40" s="7" t="str">
        <x:v>CWE-401</x:v>
      </x:c>
      <x:c r="H40" s="7" t="str">
        <x:v>CVE-2024-26458</x:v>
      </x:c>
      <x:c r="I40" s="7" t="n">
        <x:v>209</x:v>
      </x:c>
      <x:c r="J40" s="9" t="str">
        <x:v>PENDIENTE</x:v>
      </x:c>
      <x:c r="K40" s="10" t="n">
        <x:v>46645</x:v>
      </x:c>
      <x:c r="L40" s="7" t="str">
        <x:v>Avance 2027-09-15</x:v>
      </x:c>
      <x:c r="M40" s="8" t="str">
        <x:v>Actualizar imagen/base y validar compatibilidad en despliegue.</x:v>
      </x:c>
      <x:c r="N40" s="17"/>
      <x:c r="O40" s="17"/>
    </x:row>
    <x:row r="41" ht="15" hidden="0" customHeight="1">
      <x:c r="A41" s="7" t="str">
        <x:v>SIAJ-0501</x:v>
      </x:c>
      <x:c r="B41" s="7" t="str">
        <x:v>CONTAINER</x:v>
      </x:c>
      <x:c r="C41" s="7" t="str">
        <x:v>MEDIUM</x:v>
      </x:c>
      <x:c r="D41" s="8" t="str">
        <x:v>Contenedor krb5-1.21.3-5+deb13u1</x:v>
      </x:c>
      <x:c r="E41" s="7" t="str">
        <x:v>krb5</x:v>
      </x:c>
      <x:c r="F41" s="7" t="str">
        <x:v>1.21.3-5+deb13u1</x:v>
      </x:c>
      <x:c r="G41" s="7" t="str">
        <x:v>CWE-191</x:v>
      </x:c>
      <x:c r="H41" s="7" t="str">
        <x:v>CVE-2026-11850</x:v>
      </x:c>
      <x:c r="I41" s="7" t="n">
        <x:v>209</x:v>
      </x:c>
      <x:c r="J41" s="9" t="str">
        <x:v>PENDIENTE</x:v>
      </x:c>
      <x:c r="K41" s="10" t="n">
        <x:v>46645</x:v>
      </x:c>
      <x:c r="L41" s="7" t="str">
        <x:v>Avance 2027-09-15</x:v>
      </x:c>
      <x:c r="M41" s="8" t="str">
        <x:v>Actualizar imagen/base y validar compatibilidad en despliegue.</x:v>
      </x:c>
      <x:c r="N41" s="17"/>
      <x:c r="O41" s="17"/>
    </x:row>
    <x:row r="42" ht="15" hidden="0" customHeight="1">
      <x:c r="A42" s="7" t="str">
        <x:v>SIAJ-0434</x:v>
      </x:c>
      <x:c r="B42" s="7" t="str">
        <x:v>CONTAINER</x:v>
      </x:c>
      <x:c r="C42" s="7" t="str">
        <x:v>MEDIUM</x:v>
      </x:c>
      <x:c r="D42" s="8" t="str">
        <x:v>Contenedor libgcrypt20-1.11.0-7+deb13u1</x:v>
      </x:c>
      <x:c r="E42" s="7" t="str">
        <x:v>libgcrypt20</x:v>
      </x:c>
      <x:c r="F42" s="7" t="str">
        <x:v>1.11.0-7+deb13u1</x:v>
      </x:c>
      <x:c r="G42" s="7" t="str">
        <x:v>CWE-385</x:v>
      </x:c>
      <x:c r="H42" s="7" t="str">
        <x:v>CVE-2024-2236</x:v>
      </x:c>
      <x:c r="I42" s="7" t="n">
        <x:v>192</x:v>
      </x:c>
      <x:c r="J42" s="9" t="str">
        <x:v>PENDIENTE</x:v>
      </x:c>
      <x:c r="K42" s="10" t="n">
        <x:v>46645</x:v>
      </x:c>
      <x:c r="L42" s="7" t="str">
        <x:v>Avance 2027-09-15</x:v>
      </x:c>
      <x:c r="M42" s="8" t="str">
        <x:v>Actualizar imagen/base y validar compatibilidad en despliegue.</x:v>
      </x:c>
      <x:c r="N42" s="17"/>
      <x:c r="O42" s="17"/>
    </x:row>
    <x:row r="43" ht="15" hidden="0" customHeight="1">
      <x:c r="A43" s="7" t="str">
        <x:v>SIAJ-0508</x:v>
      </x:c>
      <x:c r="B43" s="7" t="str">
        <x:v>CONTAINER</x:v>
      </x:c>
      <x:c r="C43" s="7" t="str">
        <x:v>MEDIUM</x:v>
      </x:c>
      <x:c r="D43" s="8" t="str">
        <x:v>Contenedor libxslt-1.1.35-1.2+deb13u3</x:v>
      </x:c>
      <x:c r="E43" s="7" t="str">
        <x:v>libxslt</x:v>
      </x:c>
      <x:c r="F43" s="7" t="str">
        <x:v>1.1.35-1.2+deb13u3</x:v>
      </x:c>
      <x:c r="G43" s="7" t="str">
        <x:v>CWE-825</x:v>
      </x:c>
      <x:c r="H43" s="7" t="str">
        <x:v>CVE-2025-10911</x:v>
      </x:c>
      <x:c r="I43" s="7" t="n">
        <x:v>211</x:v>
      </x:c>
      <x:c r="J43" s="9" t="str">
        <x:v>PENDIENTE</x:v>
      </x:c>
      <x:c r="K43" s="10" t="n">
        <x:v>46645</x:v>
      </x:c>
      <x:c r="L43" s="7" t="str">
        <x:v>Avance 2027-09-15</x:v>
      </x:c>
      <x:c r="M43" s="8" t="str">
        <x:v>Actualizar imagen/base y validar compatibilidad en despliegue.</x:v>
      </x:c>
      <x:c r="N43" s="17"/>
      <x:c r="O43" s="17"/>
    </x:row>
    <x:row r="44" ht="15" hidden="0" customHeight="1">
      <x:c r="A44" s="7" t="str">
        <x:v>SIAJ-0509</x:v>
      </x:c>
      <x:c r="B44" s="7" t="str">
        <x:v>CONTAINER</x:v>
      </x:c>
      <x:c r="C44" s="7" t="str">
        <x:v>MEDIUM</x:v>
      </x:c>
      <x:c r="D44" s="8" t="str">
        <x:v>Contenedor libxslt-1.1.35-1.2+deb13u3</x:v>
      </x:c>
      <x:c r="E44" s="7" t="str">
        <x:v>libxslt</x:v>
      </x:c>
      <x:c r="F44" s="7" t="str">
        <x:v>1.1.35-1.2+deb13u3</x:v>
      </x:c>
      <x:c r="G44" s="7" t="str">
        <x:v>CWE-330</x:v>
      </x:c>
      <x:c r="H44" s="7" t="str">
        <x:v>CVE-2015-9019</x:v>
      </x:c>
      <x:c r="I44" s="7" t="n">
        <x:v>212</x:v>
      </x:c>
      <x:c r="J44" s="9" t="str">
        <x:v>PENDIENTE</x:v>
      </x:c>
      <x:c r="K44" s="10" t="n">
        <x:v>46645</x:v>
      </x:c>
      <x:c r="L44" s="7" t="str">
        <x:v>Avance 2027-09-15</x:v>
      </x:c>
      <x:c r="M44" s="8" t="str">
        <x:v>Actualizar imagen/base y validar compatibilidad en despliegue.</x:v>
      </x:c>
      <x:c r="N44" s="17"/>
      <x:c r="O44" s="17"/>
    </x:row>
    <x:row r="45" ht="15" hidden="0" customHeight="1">
      <x:c r="A45" s="7" t="str">
        <x:v>SIAJ-0481</x:v>
      </x:c>
      <x:c r="B45" s="7" t="str">
        <x:v>CONTAINER</x:v>
      </x:c>
      <x:c r="C45" s="7" t="str">
        <x:v>MEDIUM</x:v>
      </x:c>
      <x:c r="D45" s="8" t="str">
        <x:v>Contenedor ncurses-6.5+20250216-2</x:v>
      </x:c>
      <x:c r="E45" s="7" t="str">
        <x:v>ncurses</x:v>
      </x:c>
      <x:c r="F45" s="7" t="str">
        <x:v>6.5+20250216-2</x:v>
      </x:c>
      <x:c r="G45" s="7" t="str">
        <x:v>CWE-119</x:v>
      </x:c>
      <x:c r="H45" s="7" t="str">
        <x:v>CVE-2025-6141</x:v>
      </x:c>
      <x:c r="I45" s="7" t="n">
        <x:v>204</x:v>
      </x:c>
      <x:c r="J45" s="9" t="str">
        <x:v>PENDIENTE</x:v>
      </x:c>
      <x:c r="K45" s="10" t="n">
        <x:v>46645</x:v>
      </x:c>
      <x:c r="L45" s="7" t="str">
        <x:v>Avance 2027-09-15</x:v>
      </x:c>
      <x:c r="M45" s="8" t="str">
        <x:v>Actualizar imagen/base y validar compatibilidad en despliegue.</x:v>
      </x:c>
      <x:c r="N45" s="17"/>
      <x:c r="O45" s="17"/>
    </x:row>
    <x:row r="46" ht="15" hidden="0" customHeight="1">
      <x:c r="A46" s="7" t="str">
        <x:v>SIAJ-0504</x:v>
      </x:c>
      <x:c r="B46" s="7" t="str">
        <x:v>CONTAINER</x:v>
      </x:c>
      <x:c r="C46" s="7" t="str">
        <x:v>MEDIUM</x:v>
      </x:c>
      <x:c r="D46" s="8" t="str">
        <x:v>Contenedor openldap-2.6.10+dfsg-1</x:v>
      </x:c>
      <x:c r="E46" s="7" t="str">
        <x:v>openldap</x:v>
      </x:c>
      <x:c r="F46" s="7" t="str">
        <x:v>2.6.10+dfsg-1</x:v>
      </x:c>
      <x:c r="G46" s="7" t="str">
        <x:v>CWE-665</x:v>
      </x:c>
      <x:c r="H46" s="7" t="str">
        <x:v>CVE-2017-14159</x:v>
      </x:c>
      <x:c r="I46" s="7" t="n">
        <x:v>210</x:v>
      </x:c>
      <x:c r="J46" s="9" t="str">
        <x:v>PENDIENTE</x:v>
      </x:c>
      <x:c r="K46" s="10" t="n">
        <x:v>46645</x:v>
      </x:c>
      <x:c r="L46" s="7" t="str">
        <x:v>Avance 2027-09-15</x:v>
      </x:c>
      <x:c r="M46" s="8" t="str">
        <x:v>Actualizar imagen/base y validar compatibilidad en despliegue.</x:v>
      </x:c>
      <x:c r="N46" s="17"/>
      <x:c r="O46" s="17"/>
    </x:row>
    <x:row r="47" ht="15" hidden="0" customHeight="1">
      <x:c r="A47" s="7" t="str">
        <x:v>SIAJ-0505</x:v>
      </x:c>
      <x:c r="B47" s="7" t="str">
        <x:v>CONTAINER</x:v>
      </x:c>
      <x:c r="C47" s="7" t="str">
        <x:v>MEDIUM</x:v>
      </x:c>
      <x:c r="D47" s="8" t="str">
        <x:v>Contenedor openldap-2.6.10+dfsg-1</x:v>
      </x:c>
      <x:c r="E47" s="7" t="str">
        <x:v>openldap</x:v>
      </x:c>
      <x:c r="F47" s="7" t="str">
        <x:v>2.6.10+dfsg-1</x:v>
      </x:c>
      <x:c r="G47" s="7" t="str">
        <x:v>CWE-295</x:v>
      </x:c>
      <x:c r="H47" s="7" t="str">
        <x:v>CVE-2020-15719</x:v>
      </x:c>
      <x:c r="I47" s="7" t="n">
        <x:v>210</x:v>
      </x:c>
      <x:c r="J47" s="9" t="str">
        <x:v>PENDIENTE</x:v>
      </x:c>
      <x:c r="K47" s="10" t="n">
        <x:v>46645</x:v>
      </x:c>
      <x:c r="L47" s="7" t="str">
        <x:v>Avance 2027-09-15</x:v>
      </x:c>
      <x:c r="M47" s="8" t="str">
        <x:v>Actualizar imagen/base y validar compatibilidad en despliegue.</x:v>
      </x:c>
      <x:c r="N47" s="17"/>
      <x:c r="O47" s="17"/>
    </x:row>
    <x:row r="48" ht="15" hidden="0" customHeight="1">
      <x:c r="A48" s="7" t="str">
        <x:v>SIAJ-0506</x:v>
      </x:c>
      <x:c r="B48" s="7" t="str">
        <x:v>CONTAINER</x:v>
      </x:c>
      <x:c r="C48" s="7" t="str">
        <x:v>MEDIUM</x:v>
      </x:c>
      <x:c r="D48" s="8" t="str">
        <x:v>Contenedor openldap-2.6.10+dfsg-1</x:v>
      </x:c>
      <x:c r="E48" s="7" t="str">
        <x:v>openldap</x:v>
      </x:c>
      <x:c r="F48" s="7" t="str">
        <x:v>2.6.10+dfsg-1</x:v>
      </x:c>
      <x:c r="G48" s="7" t="str">
        <x:v>CWE-125</x:v>
      </x:c>
      <x:c r="H48" s="7" t="str">
        <x:v>CVE-2026-22185</x:v>
      </x:c>
      <x:c r="I48" s="7" t="n">
        <x:v>211</x:v>
      </x:c>
      <x:c r="J48" s="9" t="str">
        <x:v>PENDIENTE</x:v>
      </x:c>
      <x:c r="K48" s="10" t="n">
        <x:v>46645</x:v>
      </x:c>
      <x:c r="L48" s="7" t="str">
        <x:v>Avance 2027-09-15</x:v>
      </x:c>
      <x:c r="M48" s="8" t="str">
        <x:v>Actualizar imagen/base y validar compatibilidad en despliegue.</x:v>
      </x:c>
      <x:c r="N48" s="17"/>
      <x:c r="O48" s="17"/>
    </x:row>
    <x:row r="49" ht="15" hidden="0" customHeight="1">
      <x:c r="A49" s="7" t="str">
        <x:v>SIAJ-0447</x:v>
      </x:c>
      <x:c r="B49" s="7" t="str">
        <x:v>CONTAINER</x:v>
      </x:c>
      <x:c r="C49" s="7" t="str">
        <x:v>MEDIUM</x:v>
      </x:c>
      <x:c r="D49" s="8" t="str">
        <x:v>Contenedor openssl-3.5.6-1~deb13u2</x:v>
      </x:c>
      <x:c r="E49" s="7" t="str">
        <x:v>openssl</x:v>
      </x:c>
      <x:c r="F49" s="7" t="str">
        <x:v>3.5.6-1~deb13u2</x:v>
      </x:c>
      <x:c r="G49" s="7" t="str">
        <x:v>CWE-295</x:v>
      </x:c>
      <x:c r="H49" s="7" t="str">
        <x:v>CVE-2026-42769</x:v>
      </x:c>
      <x:c r="I49" s="7" t="n">
        <x:v>195</x:v>
      </x:c>
      <x:c r="J49" s="9" t="str">
        <x:v>PENDIENTE</x:v>
      </x:c>
      <x:c r="K49" s="10" t="n">
        <x:v>46645</x:v>
      </x:c>
      <x:c r="L49" s="7" t="str">
        <x:v>Avance 2027-09-15</x:v>
      </x:c>
      <x:c r="M49" s="8" t="str">
        <x:v>Actualizar imagen/base y validar compatibilidad en despliegue.</x:v>
      </x:c>
      <x:c r="N49" s="17"/>
      <x:c r="O49" s="17"/>
    </x:row>
    <x:row r="50" ht="15" hidden="0" customHeight="1">
      <x:c r="A50" s="7" t="str">
        <x:v>SIAJ-0448</x:v>
      </x:c>
      <x:c r="B50" s="7" t="str">
        <x:v>CONTAINER</x:v>
      </x:c>
      <x:c r="C50" s="7" t="str">
        <x:v>MEDIUM</x:v>
      </x:c>
      <x:c r="D50" s="8" t="str">
        <x:v>Contenedor openssl-3.5.6-1~deb13u2</x:v>
      </x:c>
      <x:c r="E50" s="7" t="str">
        <x:v>openssl</x:v>
      </x:c>
      <x:c r="F50" s="7" t="str">
        <x:v>3.5.6-1~deb13u2</x:v>
      </x:c>
      <x:c r="G50" s="7" t="str">
        <x:v>CWE-476</x:v>
      </x:c>
      <x:c r="H50" s="7" t="str">
        <x:v>CVE-2026-42767</x:v>
      </x:c>
      <x:c r="I50" s="7" t="n">
        <x:v>195</x:v>
      </x:c>
      <x:c r="J50" s="9" t="str">
        <x:v>PENDIENTE</x:v>
      </x:c>
      <x:c r="K50" s="10" t="n">
        <x:v>46645</x:v>
      </x:c>
      <x:c r="L50" s="7" t="str">
        <x:v>Avance 2027-09-15</x:v>
      </x:c>
      <x:c r="M50" s="8" t="str">
        <x:v>Actualizar imagen/base y validar compatibilidad en despliegue.</x:v>
      </x:c>
      <x:c r="N50" s="17"/>
      <x:c r="O50" s="17"/>
    </x:row>
    <x:row r="51" ht="15" hidden="0" customHeight="1">
      <x:c r="A51" s="7" t="str">
        <x:v>SIAJ-0449</x:v>
      </x:c>
      <x:c r="B51" s="7" t="str">
        <x:v>CONTAINER</x:v>
      </x:c>
      <x:c r="C51" s="7" t="str">
        <x:v>MEDIUM</x:v>
      </x:c>
      <x:c r="D51" s="8" t="str">
        <x:v>Contenedor openssl-3.5.6-1~deb13u2</x:v>
      </x:c>
      <x:c r="E51" s="7" t="str">
        <x:v>openssl</x:v>
      </x:c>
      <x:c r="F51" s="7" t="str">
        <x:v>3.5.6-1~deb13u2</x:v>
      </x:c>
      <x:c r="G51" s="7" t="str">
        <x:v>CWE-476</x:v>
      </x:c>
      <x:c r="H51" s="7" t="str">
        <x:v>CVE-2026-42766</x:v>
      </x:c>
      <x:c r="I51" s="7" t="n">
        <x:v>196</x:v>
      </x:c>
      <x:c r="J51" s="9" t="str">
        <x:v>PENDIENTE</x:v>
      </x:c>
      <x:c r="K51" s="10" t="n">
        <x:v>46645</x:v>
      </x:c>
      <x:c r="L51" s="7" t="str">
        <x:v>Avance 2027-09-15</x:v>
      </x:c>
      <x:c r="M51" s="8" t="str">
        <x:v>Actualizar imagen/base y validar compatibilidad en despliegue.</x:v>
      </x:c>
      <x:c r="N51" s="17"/>
      <x:c r="O51" s="17"/>
    </x:row>
    <x:row r="52" ht="15" hidden="0" customHeight="1">
      <x:c r="A52" s="7" t="str">
        <x:v>SIAJ-0450</x:v>
      </x:c>
      <x:c r="B52" s="7" t="str">
        <x:v>CONTAINER</x:v>
      </x:c>
      <x:c r="C52" s="7" t="str">
        <x:v>MEDIUM</x:v>
      </x:c>
      <x:c r="D52" s="8" t="str">
        <x:v>Contenedor openssl-3.5.6-1~deb13u2</x:v>
      </x:c>
      <x:c r="E52" s="7" t="str">
        <x:v>openssl</x:v>
      </x:c>
      <x:c r="F52" s="7" t="str">
        <x:v>3.5.6-1~deb13u2</x:v>
      </x:c>
      <x:c r="G52" s="7" t="str">
        <x:v>CWE-325</x:v>
      </x:c>
      <x:c r="H52" s="7" t="str">
        <x:v>CVE-2026-45446</x:v>
      </x:c>
      <x:c r="I52" s="7" t="n">
        <x:v>196</x:v>
      </x:c>
      <x:c r="J52" s="9" t="str">
        <x:v>PENDIENTE</x:v>
      </x:c>
      <x:c r="K52" s="10" t="n">
        <x:v>46645</x:v>
      </x:c>
      <x:c r="L52" s="7" t="str">
        <x:v>Avance 2027-09-15</x:v>
      </x:c>
      <x:c r="M52" s="8" t="str">
        <x:v>Actualizar imagen/base y validar compatibilidad en despliegue.</x:v>
      </x:c>
      <x:c r="N52" s="17"/>
      <x:c r="O52" s="17"/>
    </x:row>
    <x:row r="53" ht="15" hidden="0" customHeight="1">
      <x:c r="A53" s="7" t="str">
        <x:v>SIAJ-0507</x:v>
      </x:c>
      <x:c r="B53" s="7" t="str">
        <x:v>CONTAINER</x:v>
      </x:c>
      <x:c r="C53" s="7" t="str">
        <x:v>MEDIUM</x:v>
      </x:c>
      <x:c r="D53" s="8" t="str">
        <x:v>Contenedor p11-kit-0.25.5-3</x:v>
      </x:c>
      <x:c r="E53" s="7" t="str">
        <x:v>p11-kit</x:v>
      </x:c>
      <x:c r="F53" s="7" t="str">
        <x:v>0.25.5-3</x:v>
      </x:c>
      <x:c r="G53" s="7" t="str">
        <x:v>CWE-674</x:v>
      </x:c>
      <x:c r="H53" s="7" t="str">
        <x:v>CVE-2026-13757</x:v>
      </x:c>
      <x:c r="I53" s="7" t="n">
        <x:v>211</x:v>
      </x:c>
      <x:c r="J53" s="9" t="str">
        <x:v>PENDIENTE</x:v>
      </x:c>
      <x:c r="K53" s="10" t="n">
        <x:v>46645</x:v>
      </x:c>
      <x:c r="L53" s="7" t="str">
        <x:v>Avance 2027-09-15</x:v>
      </x:c>
      <x:c r="M53" s="8" t="str">
        <x:v>Actualizar imagen/base y validar compatibilidad en despliegue.</x:v>
      </x:c>
      <x:c r="N53" s="17"/>
      <x:c r="O53" s="17"/>
    </x:row>
    <x:row r="54" ht="15" hidden="0" customHeight="1">
      <x:c r="A54" s="7" t="str">
        <x:v>SIAJ-0482</x:v>
      </x:c>
      <x:c r="B54" s="7" t="str">
        <x:v>CONTAINER</x:v>
      </x:c>
      <x:c r="C54" s="7" t="str">
        <x:v>MEDIUM</x:v>
      </x:c>
      <x:c r="D54" s="8" t="str">
        <x:v>Contenedor pam-1.7.0-5</x:v>
      </x:c>
      <x:c r="E54" s="7" t="str">
        <x:v>pam</x:v>
      </x:c>
      <x:c r="F54" s="7" t="str">
        <x:v>1.7.0-5</x:v>
      </x:c>
      <x:c r="G54" s="7" t="str">
        <x:v>CWE-208</x:v>
      </x:c>
      <x:c r="H54" s="7" t="str">
        <x:v>CVE-2026-54411</x:v>
      </x:c>
      <x:c r="I54" s="7" t="n">
        <x:v>204</x:v>
      </x:c>
      <x:c r="J54" s="9" t="str">
        <x:v>PENDIENTE</x:v>
      </x:c>
      <x:c r="K54" s="10" t="n">
        <x:v>46645</x:v>
      </x:c>
      <x:c r="L54" s="7" t="str">
        <x:v>Avance 2027-09-15</x:v>
      </x:c>
      <x:c r="M54" s="8" t="str">
        <x:v>Actualizar imagen/base y validar compatibilidad en despliegue.</x:v>
      </x:c>
      <x:c r="N54" s="17"/>
      <x:c r="O54" s="17"/>
    </x:row>
    <x:row r="55" ht="15" hidden="0" customHeight="1">
      <x:c r="A55" s="7" t="str">
        <x:v>SIAJ-0463</x:v>
      </x:c>
      <x:c r="B55" s="7" t="str">
        <x:v>CONTAINER</x:v>
      </x:c>
      <x:c r="C55" s="7" t="str">
        <x:v>MEDIUM</x:v>
      </x:c>
      <x:c r="D55" s="8" t="str">
        <x:v>Contenedor perl-5.40.1-6</x:v>
      </x:c>
      <x:c r="E55" s="7" t="str">
        <x:v>perl</x:v>
      </x:c>
      <x:c r="F55" s="7" t="str">
        <x:v>5.40.1-6</x:v>
      </x:c>
      <x:c r="G55" s="7" t="str">
        <x:v>CWE-113</x:v>
      </x:c>
      <x:c r="H55" s="7" t="str">
        <x:v>CVE-2026-7010</x:v>
      </x:c>
      <x:c r="I55" s="7" t="n">
        <x:v>199</x:v>
      </x:c>
      <x:c r="J55" s="9" t="str">
        <x:v>PENDIENTE</x:v>
      </x:c>
      <x:c r="K55" s="10" t="n">
        <x:v>46675</x:v>
      </x:c>
      <x:c r="L55" s="7" t="str">
        <x:v>Avance 2027-10-15</x:v>
      </x:c>
      <x:c r="M55" s="8" t="str">
        <x:v>Actualizar imagen/base y validar compatibilidad en despliegue.</x:v>
      </x:c>
      <x:c r="N55" s="17"/>
      <x:c r="O55" s="17"/>
    </x:row>
    <x:row r="56" ht="15" hidden="0" customHeight="1">
      <x:c r="A56" s="7" t="str">
        <x:v>SIAJ-0464</x:v>
      </x:c>
      <x:c r="B56" s="7" t="str">
        <x:v>CONTAINER</x:v>
      </x:c>
      <x:c r="C56" s="7" t="str">
        <x:v>MEDIUM</x:v>
      </x:c>
      <x:c r="D56" s="8" t="str">
        <x:v>Contenedor perl-5.40.1-6</x:v>
      </x:c>
      <x:c r="E56" s="7" t="str">
        <x:v>perl</x:v>
      </x:c>
      <x:c r="F56" s="7" t="str">
        <x:v>5.40.1-6</x:v>
      </x:c>
      <x:c r="G56" s="7" t="str">
        <x:v>CWE-248</x:v>
      </x:c>
      <x:c r="H56" s="7" t="str">
        <x:v>CVE-2025-15649</x:v>
      </x:c>
      <x:c r="I56" s="7" t="n">
        <x:v>200</x:v>
      </x:c>
      <x:c r="J56" s="9" t="str">
        <x:v>PENDIENTE</x:v>
      </x:c>
      <x:c r="K56" s="10" t="n">
        <x:v>46675</x:v>
      </x:c>
      <x:c r="L56" s="7" t="str">
        <x:v>Avance 2027-10-15</x:v>
      </x:c>
      <x:c r="M56" s="8" t="str">
        <x:v>Actualizar imagen/base y validar compatibilidad en despliegue.</x:v>
      </x:c>
      <x:c r="N56" s="17"/>
      <x:c r="O56" s="17"/>
    </x:row>
    <x:row r="57" ht="15" hidden="0" customHeight="1">
      <x:c r="A57" s="7" t="str">
        <x:v>SIAJ-0493</x:v>
      </x:c>
      <x:c r="B57" s="7" t="str">
        <x:v>CONTAINER</x:v>
      </x:c>
      <x:c r="C57" s="7" t="str">
        <x:v>MEDIUM</x:v>
      </x:c>
      <x:c r="D57" s="8" t="str">
        <x:v>Contenedor shadow-1:4.17.4-2</x:v>
      </x:c>
      <x:c r="E57" s="7" t="str">
        <x:v>shadow</x:v>
      </x:c>
      <x:c r="F57" s="7" t="str">
        <x:v>1:4.17.4-2</x:v>
      </x:c>
      <x:c r="G57" s="7" t="str">
        <x:v>CWE-264</x:v>
      </x:c>
      <x:c r="H57" s="7" t="str">
        <x:v>CVE-2007-5686</x:v>
      </x:c>
      <x:c r="I57" s="7" t="n">
        <x:v>207</x:v>
      </x:c>
      <x:c r="J57" s="9" t="str">
        <x:v>PENDIENTE</x:v>
      </x:c>
      <x:c r="K57" s="10" t="n">
        <x:v>46675</x:v>
      </x:c>
      <x:c r="L57" s="7" t="str">
        <x:v>Avance 2027-10-15</x:v>
      </x:c>
      <x:c r="M57" s="8" t="str">
        <x:v>Actualizar imagen/base y validar compatibilidad en despliegue.</x:v>
      </x:c>
      <x:c r="N57" s="17"/>
      <x:c r="O57" s="17"/>
    </x:row>
    <x:row r="58" ht="15" hidden="0" customHeight="1">
      <x:c r="A58" s="7" t="str">
        <x:v>SIAJ-0486</x:v>
      </x:c>
      <x:c r="B58" s="7" t="str">
        <x:v>CONTAINER</x:v>
      </x:c>
      <x:c r="C58" s="7" t="str">
        <x:v>MEDIUM</x:v>
      </x:c>
      <x:c r="D58" s="8" t="str">
        <x:v>Contenedor sqlite3-3.46.1-7+deb13u1</x:v>
      </x:c>
      <x:c r="E58" s="7" t="str">
        <x:v>sqlite3</x:v>
      </x:c>
      <x:c r="F58" s="7" t="str">
        <x:v>3.46.1-7+deb13u1</x:v>
      </x:c>
      <x:c r="G58" s="7" t="str">
        <x:v>CWE-401</x:v>
      </x:c>
      <x:c r="H58" s="7" t="str">
        <x:v>CVE-2021-45346</x:v>
      </x:c>
      <x:c r="I58" s="7" t="n">
        <x:v>205</x:v>
      </x:c>
      <x:c r="J58" s="9" t="str">
        <x:v>PENDIENTE</x:v>
      </x:c>
      <x:c r="K58" s="10" t="n">
        <x:v>46675</x:v>
      </x:c>
      <x:c r="L58" s="7" t="str">
        <x:v>Avance 2027-10-15</x:v>
      </x:c>
      <x:c r="M58" s="8" t="str">
        <x:v>Actualizar imagen/base y validar compatibilidad en despliegue.</x:v>
      </x:c>
      <x:c r="N58" s="17"/>
      <x:c r="O58" s="17"/>
    </x:row>
    <x:row r="59" ht="15" hidden="0" customHeight="1">
      <x:c r="A59" s="7" t="str">
        <x:v>SIAJ-0487</x:v>
      </x:c>
      <x:c r="B59" s="7" t="str">
        <x:v>CONTAINER</x:v>
      </x:c>
      <x:c r="C59" s="7" t="str">
        <x:v>MEDIUM</x:v>
      </x:c>
      <x:c r="D59" s="8" t="str">
        <x:v>Contenedor sqlite3-3.46.1-7+deb13u1</x:v>
      </x:c>
      <x:c r="E59" s="7" t="str">
        <x:v>sqlite3</x:v>
      </x:c>
      <x:c r="F59" s="7" t="str">
        <x:v>3.46.1-7+deb13u1</x:v>
      </x:c>
      <x:c r="G59" s="7" t="str">
        <x:v>CWE-126</x:v>
      </x:c>
      <x:c r="H59" s="7" t="str">
        <x:v>CVE-2026-50813</x:v>
      </x:c>
      <x:c r="I59" s="7" t="n">
        <x:v>206</x:v>
      </x:c>
      <x:c r="J59" s="9" t="str">
        <x:v>PENDIENTE</x:v>
      </x:c>
      <x:c r="K59" s="10" t="n">
        <x:v>46675</x:v>
      </x:c>
      <x:c r="L59" s="7" t="str">
        <x:v>Avance 2027-10-15</x:v>
      </x:c>
      <x:c r="M59" s="8" t="str">
        <x:v>Actualizar imagen/base y validar compatibilidad en despliegue.</x:v>
      </x:c>
      <x:c r="N59" s="17"/>
      <x:c r="O59" s="17"/>
    </x:row>
    <x:row r="60" ht="15" hidden="0" customHeight="1">
      <x:c r="A60" s="7" t="str">
        <x:v>SIAJ-0488</x:v>
      </x:c>
      <x:c r="B60" s="7" t="str">
        <x:v>CONTAINER</x:v>
      </x:c>
      <x:c r="C60" s="7" t="str">
        <x:v>MEDIUM</x:v>
      </x:c>
      <x:c r="D60" s="8" t="str">
        <x:v>Contenedor sqlite3-3.46.1-7+deb13u1</x:v>
      </x:c>
      <x:c r="E60" s="7" t="str">
        <x:v>sqlite3</x:v>
      </x:c>
      <x:c r="F60" s="7" t="str">
        <x:v>3.46.1-7+deb13u1</x:v>
      </x:c>
      <x:c r="G60" s="7" t="str">
        <x:v>CWE-476</x:v>
      </x:c>
      <x:c r="H60" s="7" t="str">
        <x:v>CVE-2026-50812</x:v>
      </x:c>
      <x:c r="I60" s="7" t="n">
        <x:v>206</x:v>
      </x:c>
      <x:c r="J60" s="9" t="str">
        <x:v>PENDIENTE</x:v>
      </x:c>
      <x:c r="K60" s="10" t="n">
        <x:v>46675</x:v>
      </x:c>
      <x:c r="L60" s="7" t="str">
        <x:v>Avance 2027-10-15</x:v>
      </x:c>
      <x:c r="M60" s="8" t="str">
        <x:v>Actualizar imagen/base y validar compatibilidad en despliegue.</x:v>
      </x:c>
      <x:c r="N60" s="17"/>
      <x:c r="O60" s="17"/>
    </x:row>
    <x:row r="61" ht="15" hidden="0" customHeight="1">
      <x:c r="A61" s="7" t="str">
        <x:v>SIAJ-0489</x:v>
      </x:c>
      <x:c r="B61" s="7" t="str">
        <x:v>CONTAINER</x:v>
      </x:c>
      <x:c r="C61" s="7" t="str">
        <x:v>MEDIUM</x:v>
      </x:c>
      <x:c r="D61" s="8" t="str">
        <x:v>Contenedor systemd-257.13-1~deb13u1</x:v>
      </x:c>
      <x:c r="E61" s="7" t="str">
        <x:v>systemd</x:v>
      </x:c>
      <x:c r="F61" s="7" t="str">
        <x:v>257.13-1~deb13u1</x:v>
      </x:c>
      <x:c r="G61" s="7" t="str">
        <x:v>CWE-59</x:v>
      </x:c>
      <x:c r="H61" s="7" t="str">
        <x:v>CVE-2013-4392</x:v>
      </x:c>
      <x:c r="I61" s="7" t="n">
        <x:v>206</x:v>
      </x:c>
      <x:c r="J61" s="9" t="str">
        <x:v>PENDIENTE</x:v>
      </x:c>
      <x:c r="K61" s="10" t="n">
        <x:v>46675</x:v>
      </x:c>
      <x:c r="L61" s="7" t="str">
        <x:v>Avance 2027-10-15</x:v>
      </x:c>
      <x:c r="M61" s="8" t="str">
        <x:v>Actualizar imagen/base y validar compatibilidad en despliegue.</x:v>
      </x:c>
      <x:c r="N61" s="17"/>
      <x:c r="O61" s="17"/>
    </x:row>
    <x:row r="62" ht="15" hidden="0" customHeight="1">
      <x:c r="A62" s="7" t="str">
        <x:v>SIAJ-0490</x:v>
      </x:c>
      <x:c r="B62" s="7" t="str">
        <x:v>CONTAINER</x:v>
      </x:c>
      <x:c r="C62" s="7" t="str">
        <x:v>MEDIUM</x:v>
      </x:c>
      <x:c r="D62" s="8" t="str">
        <x:v>Contenedor systemd-257.13-1~deb13u1</x:v>
      </x:c>
      <x:c r="E62" s="7" t="str">
        <x:v>systemd</x:v>
      </x:c>
      <x:c r="F62" s="7" t="str">
        <x:v>257.13-1~deb13u1</x:v>
      </x:c>
      <x:c r="G62" s="7" t="str">
        <x:v>CWE-354</x:v>
      </x:c>
      <x:c r="H62" s="7" t="str">
        <x:v>CVE-2023-31437</x:v>
      </x:c>
      <x:c r="I62" s="7" t="n">
        <x:v>207</x:v>
      </x:c>
      <x:c r="J62" s="9" t="str">
        <x:v>PENDIENTE</x:v>
      </x:c>
      <x:c r="K62" s="10" t="n">
        <x:v>46675</x:v>
      </x:c>
      <x:c r="L62" s="7" t="str">
        <x:v>Avance 2027-10-15</x:v>
      </x:c>
      <x:c r="M62" s="8" t="str">
        <x:v>Actualizar imagen/base y validar compatibilidad en despliegue.</x:v>
      </x:c>
      <x:c r="N62" s="17"/>
      <x:c r="O62" s="17"/>
    </x:row>
    <x:row r="63" ht="15" hidden="0" customHeight="1">
      <x:c r="A63" s="7" t="str">
        <x:v>SIAJ-0491</x:v>
      </x:c>
      <x:c r="B63" s="7" t="str">
        <x:v>CONTAINER</x:v>
      </x:c>
      <x:c r="C63" s="7" t="str">
        <x:v>MEDIUM</x:v>
      </x:c>
      <x:c r="D63" s="8" t="str">
        <x:v>Contenedor systemd-257.13-1~deb13u1</x:v>
      </x:c>
      <x:c r="E63" s="7" t="str">
        <x:v>systemd</x:v>
      </x:c>
      <x:c r="F63" s="7" t="str">
        <x:v>257.13-1~deb13u1</x:v>
      </x:c>
      <x:c r="G63" s="7" t="str">
        <x:v>CWE-354</x:v>
      </x:c>
      <x:c r="H63" s="7" t="str">
        <x:v>CVE-2023-31438</x:v>
      </x:c>
      <x:c r="I63" s="7" t="n">
        <x:v>207</x:v>
      </x:c>
      <x:c r="J63" s="9" t="str">
        <x:v>PENDIENTE</x:v>
      </x:c>
      <x:c r="K63" s="10" t="n">
        <x:v>46675</x:v>
      </x:c>
      <x:c r="L63" s="7" t="str">
        <x:v>Avance 2027-10-15</x:v>
      </x:c>
      <x:c r="M63" s="8" t="str">
        <x:v>Actualizar imagen/base y validar compatibilidad en despliegue.</x:v>
      </x:c>
      <x:c r="N63" s="17"/>
      <x:c r="O63" s="17"/>
    </x:row>
    <x:row r="64" ht="15" hidden="0" customHeight="1">
      <x:c r="A64" s="7" t="str">
        <x:v>SIAJ-0492</x:v>
      </x:c>
      <x:c r="B64" s="7" t="str">
        <x:v>CONTAINER</x:v>
      </x:c>
      <x:c r="C64" s="7" t="str">
        <x:v>MEDIUM</x:v>
      </x:c>
      <x:c r="D64" s="8" t="str">
        <x:v>Contenedor systemd-257.13-1~deb13u1</x:v>
      </x:c>
      <x:c r="E64" s="7" t="str">
        <x:v>systemd</x:v>
      </x:c>
      <x:c r="F64" s="7" t="str">
        <x:v>257.13-1~deb13u1</x:v>
      </x:c>
      <x:c r="G64" s="7" t="str">
        <x:v>CWE-354</x:v>
      </x:c>
      <x:c r="H64" s="7" t="str">
        <x:v>CVE-2023-31439</x:v>
      </x:c>
      <x:c r="I64" s="7" t="n">
        <x:v>207</x:v>
      </x:c>
      <x:c r="J64" s="9" t="str">
        <x:v>PENDIENTE</x:v>
      </x:c>
      <x:c r="K64" s="10" t="n">
        <x:v>46675</x:v>
      </x:c>
      <x:c r="L64" s="7" t="str">
        <x:v>Avance 2027-10-15</x:v>
      </x:c>
      <x:c r="M64" s="8" t="str">
        <x:v>Actualizar imagen/base y validar compatibilidad en despliegue.</x:v>
      </x:c>
      <x:c r="N64" s="17"/>
      <x:c r="O64" s="17"/>
    </x:row>
    <x:row r="65" ht="15" hidden="0" customHeight="1">
      <x:c r="A65" s="7" t="str">
        <x:v>SIAJ-0428</x:v>
      </x:c>
      <x:c r="B65" s="7" t="str">
        <x:v>CONTAINER</x:v>
      </x:c>
      <x:c r="C65" s="7" t="str">
        <x:v>MEDIUM</x:v>
      </x:c>
      <x:c r="D65" s="8" t="str">
        <x:v>Contenedor tar-1.35+dfsg-3.1</x:v>
      </x:c>
      <x:c r="E65" s="7" t="str">
        <x:v>tar</x:v>
      </x:c>
      <x:c r="F65" s="7" t="str">
        <x:v>1.35+dfsg-3.1</x:v>
      </x:c>
      <x:c r="G65" s="7" t="str">
        <x:v>CWE-434</x:v>
      </x:c>
      <x:c r="H65" s="7" t="str">
        <x:v>CVE-2026-5704</x:v>
      </x:c>
      <x:c r="I65" s="7" t="n">
        <x:v>190</x:v>
      </x:c>
      <x:c r="J65" s="9" t="str">
        <x:v>PENDIENTE</x:v>
      </x:c>
      <x:c r="K65" s="10" t="n">
        <x:v>46675</x:v>
      </x:c>
      <x:c r="L65" s="7" t="str">
        <x:v>Avance 2027-10-15</x:v>
      </x:c>
      <x:c r="M65" s="8" t="str">
        <x:v>Actualizar imagen/base y validar compatibilidad en despliegue.</x:v>
      </x:c>
      <x:c r="N65" s="17"/>
      <x:c r="O65" s="17"/>
    </x:row>
    <x:row r="66" ht="15" hidden="0" customHeight="1">
      <x:c r="A66" s="7" t="str">
        <x:v>SIAJ-0429</x:v>
      </x:c>
      <x:c r="B66" s="7" t="str">
        <x:v>CONTAINER</x:v>
      </x:c>
      <x:c r="C66" s="7" t="str">
        <x:v>MEDIUM</x:v>
      </x:c>
      <x:c r="D66" s="8" t="str">
        <x:v>Contenedor util-linux-2.41-5</x:v>
      </x:c>
      <x:c r="E66" s="7" t="str">
        <x:v>util-linux</x:v>
      </x:c>
      <x:c r="F66" s="7" t="str">
        <x:v>2.41-5</x:v>
      </x:c>
      <x:c r="G66" s="7" t="str">
        <x:v>CWE-416</x:v>
      </x:c>
      <x:c r="H66" s="7" t="str">
        <x:v>CVE-2026-13595</x:v>
      </x:c>
      <x:c r="I66" s="7" t="n">
        <x:v>190</x:v>
      </x:c>
      <x:c r="J66" s="9" t="str">
        <x:v>PENDIENTE</x:v>
      </x:c>
      <x:c r="K66" s="10" t="n">
        <x:v>46675</x:v>
      </x:c>
      <x:c r="L66" s="7" t="str">
        <x:v>Avance 2027-10-15</x:v>
      </x:c>
      <x:c r="M66" s="8" t="str">
        <x:v>Actualizar imagen/base y validar compatibilidad en despliegue.</x:v>
      </x:c>
      <x:c r="N66" s="17"/>
      <x:c r="O66" s="17"/>
    </x:row>
    <x:row r="67" ht="15" hidden="0" customHeight="1">
      <x:c r="A67" s="7" t="str">
        <x:v>SIAJ-0430</x:v>
      </x:c>
      <x:c r="B67" s="7" t="str">
        <x:v>CONTAINER</x:v>
      </x:c>
      <x:c r="C67" s="7" t="str">
        <x:v>MEDIUM</x:v>
      </x:c>
      <x:c r="D67" s="8" t="str">
        <x:v>Contenedor util-linux-2.41-5</x:v>
      </x:c>
      <x:c r="E67" s="7" t="str">
        <x:v>util-linux</x:v>
      </x:c>
      <x:c r="F67" s="7" t="str">
        <x:v>2.41-5</x:v>
      </x:c>
      <x:c r="G67" s="7" t="str">
        <x:v>CWE-209</x:v>
      </x:c>
      <x:c r="H67" s="7" t="str">
        <x:v>CVE-2022-0563</x:v>
      </x:c>
      <x:c r="I67" s="7" t="n">
        <x:v>191</x:v>
      </x:c>
      <x:c r="J67" s="9" t="str">
        <x:v>PENDIENTE</x:v>
      </x:c>
      <x:c r="K67" s="10" t="n">
        <x:v>46675</x:v>
      </x:c>
      <x:c r="L67" s="7" t="str">
        <x:v>Avance 2027-10-15</x:v>
      </x:c>
      <x:c r="M67" s="8" t="str">
        <x:v>Actualizar imagen/base y validar compatibilidad en despliegue.</x:v>
      </x:c>
      <x:c r="N67" s="17"/>
      <x:c r="O67" s="17"/>
    </x:row>
    <x:row r="68" ht="15" hidden="0" customHeight="1">
      <x:c r="A68" s="7" t="str">
        <x:v>SIAJ-0431</x:v>
      </x:c>
      <x:c r="B68" s="7" t="str">
        <x:v>CONTAINER</x:v>
      </x:c>
      <x:c r="C68" s="7" t="str">
        <x:v>MEDIUM</x:v>
      </x:c>
      <x:c r="D68" s="8" t="str">
        <x:v>Contenedor util-linux-2.41-5</x:v>
      </x:c>
      <x:c r="E68" s="7" t="str">
        <x:v>util-linux</x:v>
      </x:c>
      <x:c r="F68" s="7" t="str">
        <x:v>2.41-5</x:v>
      </x:c>
      <x:c r="G68" s="7" t="str">
        <x:v>CWE-125</x:v>
      </x:c>
      <x:c r="H68" s="7" t="str">
        <x:v>CVE-2025-14104</x:v>
      </x:c>
      <x:c r="I68" s="7" t="n">
        <x:v>191</x:v>
      </x:c>
      <x:c r="J68" s="9" t="str">
        <x:v>PENDIENTE</x:v>
      </x:c>
      <x:c r="K68" s="10" t="n">
        <x:v>46675</x:v>
      </x:c>
      <x:c r="L68" s="7" t="str">
        <x:v>Avance 2027-10-15</x:v>
      </x:c>
      <x:c r="M68" s="8" t="str">
        <x:v>Actualizar imagen/base y validar compatibilidad en despliegue.</x:v>
      </x:c>
      <x:c r="N68" s="17"/>
      <x:c r="O68" s="17"/>
    </x:row>
    <x:row r="69" ht="15" hidden="0" customHeight="1">
      <x:c r="A69" s="7" t="str">
        <x:v>SIAJ-0432</x:v>
      </x:c>
      <x:c r="B69" s="7" t="str">
        <x:v>CONTAINER</x:v>
      </x:c>
      <x:c r="C69" s="7" t="str">
        <x:v>MEDIUM</x:v>
      </x:c>
      <x:c r="D69" s="8" t="str">
        <x:v>Contenedor util-linux-2.41-5</x:v>
      </x:c>
      <x:c r="E69" s="7" t="str">
        <x:v>util-linux</x:v>
      </x:c>
      <x:c r="F69" s="7" t="str">
        <x:v>2.41-5</x:v>
      </x:c>
      <x:c r="G69" s="7" t="str">
        <x:v>CWE-59</x:v>
      </x:c>
      <x:c r="H69" s="7" t="str">
        <x:v>CVE-2026-27456</x:v>
      </x:c>
      <x:c r="I69" s="7" t="n">
        <x:v>191</x:v>
      </x:c>
      <x:c r="J69" s="9" t="str">
        <x:v>PENDIENTE</x:v>
      </x:c>
      <x:c r="K69" s="10" t="n">
        <x:v>46675</x:v>
      </x:c>
      <x:c r="L69" s="7" t="str">
        <x:v>Avance 2027-10-15</x:v>
      </x:c>
      <x:c r="M69" s="8" t="str">
        <x:v>Actualizar imagen/base y validar compatibilidad en despliegue.</x:v>
      </x:c>
      <x:c r="N69" s="17"/>
      <x:c r="O69" s="17"/>
    </x:row>
    <x:row r="70" ht="15" hidden="0" customHeight="1">
      <x:c r="A70" s="7" t="str">
        <x:v>SIAJ-0494</x:v>
      </x:c>
      <x:c r="B70" s="7" t="str">
        <x:v>CONTAINER</x:v>
      </x:c>
      <x:c r="C70" s="7" t="str">
        <x:v>MEDIUM</x:v>
      </x:c>
      <x:c r="D70" s="8" t="str">
        <x:v>Contenedor zlib-1:1.3.dfsg+really1.3.1-1</x:v>
      </x:c>
      <x:c r="E70" s="7" t="str">
        <x:v>zlib</x:v>
      </x:c>
      <x:c r="F70" s="7" t="str">
        <x:v>1:1.3.dfsg+really1.3.1-1</x:v>
      </x:c>
      <x:c r="G70" s="7" t="str">
        <x:v>CWE-1284</x:v>
      </x:c>
      <x:c r="H70" s="7" t="str">
        <x:v>CVE-2026-27171</x:v>
      </x:c>
      <x:c r="I70" s="7" t="n">
        <x:v>208</x:v>
      </x:c>
      <x:c r="J70" s="9" t="str">
        <x:v>PENDIENTE</x:v>
      </x:c>
      <x:c r="K70" s="10" t="n">
        <x:v>46675</x:v>
      </x:c>
      <x:c r="L70" s="7" t="str">
        <x:v>Avance 2027-10-15</x:v>
      </x:c>
      <x:c r="M70" s="8" t="str">
        <x:v>Actualizar imagen/base y validar compatibilidad en despliegue.</x:v>
      </x:c>
      <x:c r="N70" s="17"/>
      <x:c r="O70" s="17"/>
    </x:row>
    <x:row r="71" ht="15" hidden="0" customHeight="1">
      <x:c r="A71" s="7" t="str">
        <x:v>SIAJ-0016</x:v>
      </x:c>
      <x:c r="B71" s="7" t="str">
        <x:v>SAST</x:v>
      </x:c>
      <x:c r="C71" s="7" t="str">
        <x:v>MEDIUM</x:v>
      </x:c>
      <x:c r="D71" s="8" t="str">
        <x:v>Parameter_Tampering 1/196</x:v>
      </x:c>
      <x:c r="E71" s="7" t="str">
        <x:v>Código fuente Java</x:v>
      </x:c>
      <x:c r="F71" s="7" t="str"/>
      <x:c r="G71" s="7" t="str">
        <x:v>CWE-472</x:v>
      </x:c>
      <x:c r="H71" s="7" t="str"/>
      <x:c r="I71" s="7" t="n">
        <x:v>20</x:v>
      </x:c>
      <x:c r="J71" s="9" t="str">
        <x:v>PENDIENTE</x:v>
      </x:c>
      <x:c r="K71" s="10" t="n">
        <x:v>46675</x:v>
      </x:c>
      <x:c r="L71" s="7" t="str">
        <x:v>Avance 2027-10-15</x:v>
      </x:c>
      <x:c r="M71" s="8" t="str">
        <x:v>Validar aplicabilidad antes de remediar.</x:v>
      </x:c>
      <x:c r="N71" s="17"/>
      <x:c r="O71" s="17"/>
    </x:row>
    <x:row r="72" ht="15" hidden="0" customHeight="1">
      <x:c r="A72" s="7" t="str">
        <x:v>SIAJ-0025</x:v>
      </x:c>
      <x:c r="B72" s="7" t="str">
        <x:v>SAST</x:v>
      </x:c>
      <x:c r="C72" s="7" t="str">
        <x:v>MEDIUM</x:v>
      </x:c>
      <x:c r="D72" s="8" t="str">
        <x:v>Parameter_Tampering 10/196</x:v>
      </x:c>
      <x:c r="E72" s="7" t="str">
        <x:v>Código fuente Java</x:v>
      </x:c>
      <x:c r="F72" s="7" t="str"/>
      <x:c r="G72" s="7" t="str">
        <x:v>CWE-472</x:v>
      </x:c>
      <x:c r="H72" s="7" t="str"/>
      <x:c r="I72" s="7" t="n">
        <x:v>20</x:v>
      </x:c>
      <x:c r="J72" s="9" t="str">
        <x:v>PENDIENTE</x:v>
      </x:c>
      <x:c r="K72" s="10" t="n">
        <x:v>46706</x:v>
      </x:c>
      <x:c r="L72" s="7" t="str">
        <x:v>Avance 2027-11-15</x:v>
      </x:c>
      <x:c r="M72" s="8" t="str">
        <x:v>Validar aplicabilidad antes de remediar.</x:v>
      </x:c>
      <x:c r="N72" s="17"/>
      <x:c r="O72" s="17"/>
    </x:row>
    <x:row r="73" ht="15" hidden="0" customHeight="1">
      <x:c r="A73" s="7" t="str">
        <x:v>SIAJ-0115</x:v>
      </x:c>
      <x:c r="B73" s="7" t="str">
        <x:v>SAST</x:v>
      </x:c>
      <x:c r="C73" s="7" t="str">
        <x:v>MEDIUM</x:v>
      </x:c>
      <x:c r="D73" s="8" t="str">
        <x:v>Parameter_Tampering 100/196</x:v>
      </x:c>
      <x:c r="E73" s="7" t="str">
        <x:v>Código fuente Java</x:v>
      </x:c>
      <x:c r="F73" s="7" t="str"/>
      <x:c r="G73" s="7" t="str">
        <x:v>CWE-472</x:v>
      </x:c>
      <x:c r="H73" s="7" t="str"/>
      <x:c r="I73" s="7" t="n">
        <x:v>20</x:v>
      </x:c>
      <x:c r="J73" s="9" t="str">
        <x:v>PENDIENTE</x:v>
      </x:c>
      <x:c r="K73" s="10" t="n">
        <x:v>46706</x:v>
      </x:c>
      <x:c r="L73" s="7" t="str">
        <x:v>Avance 2027-11-15</x:v>
      </x:c>
      <x:c r="M73" s="8" t="str">
        <x:v>Validar aplicabilidad antes de remediar.</x:v>
      </x:c>
      <x:c r="N73" s="17"/>
      <x:c r="O73" s="17"/>
    </x:row>
    <x:row r="74" ht="15" hidden="0" customHeight="1">
      <x:c r="A74" s="7" t="str">
        <x:v>SIAJ-0116</x:v>
      </x:c>
      <x:c r="B74" s="7" t="str">
        <x:v>SAST</x:v>
      </x:c>
      <x:c r="C74" s="7" t="str">
        <x:v>MEDIUM</x:v>
      </x:c>
      <x:c r="D74" s="8" t="str">
        <x:v>Parameter_Tampering 101/196</x:v>
      </x:c>
      <x:c r="E74" s="7" t="str">
        <x:v>Código fuente Java</x:v>
      </x:c>
      <x:c r="F74" s="7" t="str"/>
      <x:c r="G74" s="7" t="str">
        <x:v>CWE-472</x:v>
      </x:c>
      <x:c r="H74" s="7" t="str"/>
      <x:c r="I74" s="7" t="n">
        <x:v>20</x:v>
      </x:c>
      <x:c r="J74" s="9" t="str">
        <x:v>PENDIENTE</x:v>
      </x:c>
      <x:c r="K74" s="10" t="n">
        <x:v>46706</x:v>
      </x:c>
      <x:c r="L74" s="7" t="str">
        <x:v>Avance 2027-11-15</x:v>
      </x:c>
      <x:c r="M74" s="8" t="str">
        <x:v>Validar aplicabilidad antes de remediar.</x:v>
      </x:c>
      <x:c r="N74" s="17"/>
      <x:c r="O74" s="17"/>
    </x:row>
    <x:row r="75" ht="15" hidden="0" customHeight="1">
      <x:c r="A75" s="7" t="str">
        <x:v>SIAJ-0117</x:v>
      </x:c>
      <x:c r="B75" s="7" t="str">
        <x:v>SAST</x:v>
      </x:c>
      <x:c r="C75" s="7" t="str">
        <x:v>MEDIUM</x:v>
      </x:c>
      <x:c r="D75" s="8" t="str">
        <x:v>Parameter_Tampering 102/196</x:v>
      </x:c>
      <x:c r="E75" s="7" t="str">
        <x:v>Código fuente Java</x:v>
      </x:c>
      <x:c r="F75" s="7" t="str"/>
      <x:c r="G75" s="7" t="str">
        <x:v>CWE-472</x:v>
      </x:c>
      <x:c r="H75" s="7" t="str"/>
      <x:c r="I75" s="7" t="n">
        <x:v>20</x:v>
      </x:c>
      <x:c r="J75" s="9" t="str">
        <x:v>PENDIENTE</x:v>
      </x:c>
      <x:c r="K75" s="10" t="n">
        <x:v>46706</x:v>
      </x:c>
      <x:c r="L75" s="7" t="str">
        <x:v>Avance 2027-11-15</x:v>
      </x:c>
      <x:c r="M75" s="8" t="str">
        <x:v>Validar aplicabilidad antes de remediar.</x:v>
      </x:c>
      <x:c r="N75" s="17"/>
      <x:c r="O75" s="17"/>
    </x:row>
    <x:row r="76" ht="15" hidden="0" customHeight="1">
      <x:c r="A76" s="7" t="str">
        <x:v>SIAJ-0118</x:v>
      </x:c>
      <x:c r="B76" s="7" t="str">
        <x:v>SAST</x:v>
      </x:c>
      <x:c r="C76" s="7" t="str">
        <x:v>MEDIUM</x:v>
      </x:c>
      <x:c r="D76" s="8" t="str">
        <x:v>Parameter_Tampering 103/196</x:v>
      </x:c>
      <x:c r="E76" s="7" t="str">
        <x:v>Código fuente Java</x:v>
      </x:c>
      <x:c r="F76" s="7" t="str"/>
      <x:c r="G76" s="7" t="str">
        <x:v>CWE-472</x:v>
      </x:c>
      <x:c r="H76" s="7" t="str"/>
      <x:c r="I76" s="7" t="n">
        <x:v>20</x:v>
      </x:c>
      <x:c r="J76" s="9" t="str">
        <x:v>PENDIENTE</x:v>
      </x:c>
      <x:c r="K76" s="10" t="n">
        <x:v>46706</x:v>
      </x:c>
      <x:c r="L76" s="7" t="str">
        <x:v>Avance 2027-11-15</x:v>
      </x:c>
      <x:c r="M76" s="8" t="str">
        <x:v>Validar aplicabilidad antes de remediar.</x:v>
      </x:c>
      <x:c r="N76" s="17"/>
      <x:c r="O76" s="17"/>
    </x:row>
    <x:row r="77" ht="15" hidden="0" customHeight="1">
      <x:c r="A77" s="7" t="str">
        <x:v>SIAJ-0119</x:v>
      </x:c>
      <x:c r="B77" s="7" t="str">
        <x:v>SAST</x:v>
      </x:c>
      <x:c r="C77" s="7" t="str">
        <x:v>MEDIUM</x:v>
      </x:c>
      <x:c r="D77" s="8" t="str">
        <x:v>Parameter_Tampering 104/196</x:v>
      </x:c>
      <x:c r="E77" s="7" t="str">
        <x:v>Código fuente Java</x:v>
      </x:c>
      <x:c r="F77" s="7" t="str"/>
      <x:c r="G77" s="7" t="str">
        <x:v>CWE-472</x:v>
      </x:c>
      <x:c r="H77" s="7" t="str"/>
      <x:c r="I77" s="7" t="n">
        <x:v>20</x:v>
      </x:c>
      <x:c r="J77" s="9" t="str">
        <x:v>PENDIENTE</x:v>
      </x:c>
      <x:c r="K77" s="10" t="n">
        <x:v>46706</x:v>
      </x:c>
      <x:c r="L77" s="7" t="str">
        <x:v>Avance 2027-11-15</x:v>
      </x:c>
      <x:c r="M77" s="8" t="str">
        <x:v>Validar aplicabilidad antes de remediar.</x:v>
      </x:c>
      <x:c r="N77" s="17"/>
      <x:c r="O77" s="17"/>
    </x:row>
    <x:row r="78" ht="15" hidden="0" customHeight="1">
      <x:c r="A78" s="7" t="str">
        <x:v>SIAJ-0120</x:v>
      </x:c>
      <x:c r="B78" s="7" t="str">
        <x:v>SAST</x:v>
      </x:c>
      <x:c r="C78" s="7" t="str">
        <x:v>MEDIUM</x:v>
      </x:c>
      <x:c r="D78" s="8" t="str">
        <x:v>Parameter_Tampering 105/196</x:v>
      </x:c>
      <x:c r="E78" s="7" t="str">
        <x:v>Código fuente Java</x:v>
      </x:c>
      <x:c r="F78" s="7" t="str"/>
      <x:c r="G78" s="7" t="str">
        <x:v>CWE-472</x:v>
      </x:c>
      <x:c r="H78" s="7" t="str"/>
      <x:c r="I78" s="7" t="n">
        <x:v>20</x:v>
      </x:c>
      <x:c r="J78" s="9" t="str">
        <x:v>PENDIENTE</x:v>
      </x:c>
      <x:c r="K78" s="10" t="n">
        <x:v>46706</x:v>
      </x:c>
      <x:c r="L78" s="7" t="str">
        <x:v>Avance 2027-11-15</x:v>
      </x:c>
      <x:c r="M78" s="8" t="str">
        <x:v>Validar aplicabilidad antes de remediar.</x:v>
      </x:c>
      <x:c r="N78" s="17"/>
      <x:c r="O78" s="17"/>
    </x:row>
    <x:row r="79" ht="15" hidden="0" customHeight="1">
      <x:c r="A79" s="7" t="str">
        <x:v>SIAJ-0121</x:v>
      </x:c>
      <x:c r="B79" s="7" t="str">
        <x:v>SAST</x:v>
      </x:c>
      <x:c r="C79" s="7" t="str">
        <x:v>MEDIUM</x:v>
      </x:c>
      <x:c r="D79" s="8" t="str">
        <x:v>Parameter_Tampering 106/196</x:v>
      </x:c>
      <x:c r="E79" s="7" t="str">
        <x:v>Código fuente Java</x:v>
      </x:c>
      <x:c r="F79" s="7" t="str"/>
      <x:c r="G79" s="7" t="str">
        <x:v>CWE-472</x:v>
      </x:c>
      <x:c r="H79" s="7" t="str"/>
      <x:c r="I79" s="7" t="n">
        <x:v>20</x:v>
      </x:c>
      <x:c r="J79" s="9" t="str">
        <x:v>PENDIENTE</x:v>
      </x:c>
      <x:c r="K79" s="10" t="n">
        <x:v>46706</x:v>
      </x:c>
      <x:c r="L79" s="7" t="str">
        <x:v>Avance 2027-11-15</x:v>
      </x:c>
      <x:c r="M79" s="8" t="str">
        <x:v>Validar aplicabilidad antes de remediar.</x:v>
      </x:c>
      <x:c r="N79" s="17"/>
      <x:c r="O79" s="17"/>
    </x:row>
    <x:row r="80" ht="15" hidden="0" customHeight="1">
      <x:c r="A80" s="7" t="str">
        <x:v>SIAJ-0122</x:v>
      </x:c>
      <x:c r="B80" s="7" t="str">
        <x:v>SAST</x:v>
      </x:c>
      <x:c r="C80" s="7" t="str">
        <x:v>MEDIUM</x:v>
      </x:c>
      <x:c r="D80" s="8" t="str">
        <x:v>Parameter_Tampering 107/196</x:v>
      </x:c>
      <x:c r="E80" s="7" t="str">
        <x:v>Código fuente Java</x:v>
      </x:c>
      <x:c r="F80" s="7" t="str"/>
      <x:c r="G80" s="7" t="str">
        <x:v>CWE-472</x:v>
      </x:c>
      <x:c r="H80" s="7" t="str"/>
      <x:c r="I80" s="7" t="n">
        <x:v>20</x:v>
      </x:c>
      <x:c r="J80" s="9" t="str">
        <x:v>PENDIENTE</x:v>
      </x:c>
      <x:c r="K80" s="10" t="n">
        <x:v>46706</x:v>
      </x:c>
      <x:c r="L80" s="7" t="str">
        <x:v>Avance 2027-11-15</x:v>
      </x:c>
      <x:c r="M80" s="8" t="str">
        <x:v>Validar aplicabilidad antes de remediar.</x:v>
      </x:c>
      <x:c r="N80" s="17"/>
      <x:c r="O80" s="17"/>
    </x:row>
    <x:row r="81" ht="15" hidden="0" customHeight="1">
      <x:c r="A81" s="7" t="str">
        <x:v>SIAJ-0123</x:v>
      </x:c>
      <x:c r="B81" s="7" t="str">
        <x:v>SAST</x:v>
      </x:c>
      <x:c r="C81" s="7" t="str">
        <x:v>MEDIUM</x:v>
      </x:c>
      <x:c r="D81" s="8" t="str">
        <x:v>Parameter_Tampering 108/196</x:v>
      </x:c>
      <x:c r="E81" s="7" t="str">
        <x:v>Código fuente Java</x:v>
      </x:c>
      <x:c r="F81" s="7" t="str"/>
      <x:c r="G81" s="7" t="str">
        <x:v>CWE-472</x:v>
      </x:c>
      <x:c r="H81" s="7" t="str"/>
      <x:c r="I81" s="7" t="n">
        <x:v>20</x:v>
      </x:c>
      <x:c r="J81" s="9" t="str">
        <x:v>PENDIENTE</x:v>
      </x:c>
      <x:c r="K81" s="10" t="n">
        <x:v>46706</x:v>
      </x:c>
      <x:c r="L81" s="7" t="str">
        <x:v>Avance 2027-11-15</x:v>
      </x:c>
      <x:c r="M81" s="8" t="str">
        <x:v>Validar aplicabilidad antes de remediar.</x:v>
      </x:c>
      <x:c r="N81" s="17"/>
      <x:c r="O81" s="17"/>
    </x:row>
    <x:row r="82" ht="15" hidden="0" customHeight="1">
      <x:c r="A82" s="7" t="str">
        <x:v>SIAJ-0124</x:v>
      </x:c>
      <x:c r="B82" s="7" t="str">
        <x:v>SAST</x:v>
      </x:c>
      <x:c r="C82" s="7" t="str">
        <x:v>MEDIUM</x:v>
      </x:c>
      <x:c r="D82" s="8" t="str">
        <x:v>Parameter_Tampering 109/196</x:v>
      </x:c>
      <x:c r="E82" s="7" t="str">
        <x:v>Código fuente Java</x:v>
      </x:c>
      <x:c r="F82" s="7" t="str"/>
      <x:c r="G82" s="7" t="str">
        <x:v>CWE-472</x:v>
      </x:c>
      <x:c r="H82" s="7" t="str"/>
      <x:c r="I82" s="7" t="n">
        <x:v>20</x:v>
      </x:c>
      <x:c r="J82" s="9" t="str">
        <x:v>PENDIENTE</x:v>
      </x:c>
      <x:c r="K82" s="10" t="n">
        <x:v>46706</x:v>
      </x:c>
      <x:c r="L82" s="7" t="str">
        <x:v>Avance 2027-11-15</x:v>
      </x:c>
      <x:c r="M82" s="8" t="str">
        <x:v>Validar aplicabilidad antes de remediar.</x:v>
      </x:c>
      <x:c r="N82" s="17"/>
      <x:c r="O82" s="17"/>
    </x:row>
    <x:row r="83" ht="15" hidden="0" customHeight="1">
      <x:c r="A83" s="7" t="str">
        <x:v>SIAJ-0026</x:v>
      </x:c>
      <x:c r="B83" s="7" t="str">
        <x:v>SAST</x:v>
      </x:c>
      <x:c r="C83" s="7" t="str">
        <x:v>MEDIUM</x:v>
      </x:c>
      <x:c r="D83" s="8" t="str">
        <x:v>Parameter_Tampering 11/196</x:v>
      </x:c>
      <x:c r="E83" s="7" t="str">
        <x:v>Código fuente Java</x:v>
      </x:c>
      <x:c r="F83" s="7" t="str"/>
      <x:c r="G83" s="7" t="str">
        <x:v>CWE-472</x:v>
      </x:c>
      <x:c r="H83" s="7" t="str"/>
      <x:c r="I83" s="7" t="n">
        <x:v>20</x:v>
      </x:c>
      <x:c r="J83" s="9" t="str">
        <x:v>PENDIENTE</x:v>
      </x:c>
      <x:c r="K83" s="10" t="n">
        <x:v>46706</x:v>
      </x:c>
      <x:c r="L83" s="7" t="str">
        <x:v>Avance 2027-11-15</x:v>
      </x:c>
      <x:c r="M83" s="8" t="str">
        <x:v>Validar aplicabilidad antes de remediar.</x:v>
      </x:c>
      <x:c r="N83" s="17"/>
      <x:c r="O83" s="17"/>
    </x:row>
    <x:row r="84" ht="15" hidden="0" customHeight="1">
      <x:c r="A84" s="7" t="str">
        <x:v>SIAJ-0125</x:v>
      </x:c>
      <x:c r="B84" s="7" t="str">
        <x:v>SAST</x:v>
      </x:c>
      <x:c r="C84" s="7" t="str">
        <x:v>MEDIUM</x:v>
      </x:c>
      <x:c r="D84" s="8" t="str">
        <x:v>Parameter_Tampering 110/196</x:v>
      </x:c>
      <x:c r="E84" s="7" t="str">
        <x:v>Código fuente Java</x:v>
      </x:c>
      <x:c r="F84" s="7" t="str"/>
      <x:c r="G84" s="7" t="str">
        <x:v>CWE-472</x:v>
      </x:c>
      <x:c r="H84" s="7" t="str"/>
      <x:c r="I84" s="7" t="n">
        <x:v>20</x:v>
      </x:c>
      <x:c r="J84" s="9" t="str">
        <x:v>PENDIENTE</x:v>
      </x:c>
      <x:c r="K84" s="10" t="n">
        <x:v>46706</x:v>
      </x:c>
      <x:c r="L84" s="7" t="str">
        <x:v>Avance 2027-11-15</x:v>
      </x:c>
      <x:c r="M84" s="8" t="str">
        <x:v>Validar aplicabilidad antes de remediar.</x:v>
      </x:c>
      <x:c r="N84" s="17"/>
      <x:c r="O84" s="17"/>
    </x:row>
    <x:row r="85" ht="15" hidden="0" customHeight="1">
      <x:c r="A85" s="7" t="str">
        <x:v>SIAJ-0126</x:v>
      </x:c>
      <x:c r="B85" s="7" t="str">
        <x:v>SAST</x:v>
      </x:c>
      <x:c r="C85" s="7" t="str">
        <x:v>MEDIUM</x:v>
      </x:c>
      <x:c r="D85" s="8" t="str">
        <x:v>Parameter_Tampering 111/196</x:v>
      </x:c>
      <x:c r="E85" s="7" t="str">
        <x:v>Código fuente Java</x:v>
      </x:c>
      <x:c r="F85" s="7" t="str"/>
      <x:c r="G85" s="7" t="str">
        <x:v>CWE-472</x:v>
      </x:c>
      <x:c r="H85" s="7" t="str"/>
      <x:c r="I85" s="7" t="n">
        <x:v>20</x:v>
      </x:c>
      <x:c r="J85" s="9" t="str">
        <x:v>PENDIENTE</x:v>
      </x:c>
      <x:c r="K85" s="10" t="n">
        <x:v>46706</x:v>
      </x:c>
      <x:c r="L85" s="7" t="str">
        <x:v>Avance 2027-11-15</x:v>
      </x:c>
      <x:c r="M85" s="8" t="str">
        <x:v>Validar aplicabilidad antes de remediar.</x:v>
      </x:c>
      <x:c r="N85" s="17"/>
      <x:c r="O85" s="17"/>
    </x:row>
    <x:row r="86" ht="15" hidden="0" customHeight="1">
      <x:c r="A86" s="7" t="str">
        <x:v>SIAJ-0127</x:v>
      </x:c>
      <x:c r="B86" s="7" t="str">
        <x:v>SAST</x:v>
      </x:c>
      <x:c r="C86" s="7" t="str">
        <x:v>MEDIUM</x:v>
      </x:c>
      <x:c r="D86" s="8" t="str">
        <x:v>Parameter_Tampering 112/196</x:v>
      </x:c>
      <x:c r="E86" s="7" t="str">
        <x:v>Código fuente Java</x:v>
      </x:c>
      <x:c r="F86" s="7" t="str"/>
      <x:c r="G86" s="7" t="str">
        <x:v>CWE-472</x:v>
      </x:c>
      <x:c r="H86" s="7" t="str"/>
      <x:c r="I86" s="7" t="n">
        <x:v>20</x:v>
      </x:c>
      <x:c r="J86" s="9" t="str">
        <x:v>PENDIENTE</x:v>
      </x:c>
      <x:c r="K86" s="10" t="n">
        <x:v>46706</x:v>
      </x:c>
      <x:c r="L86" s="7" t="str">
        <x:v>Avance 2027-11-15</x:v>
      </x:c>
      <x:c r="M86" s="8" t="str">
        <x:v>Validar aplicabilidad antes de remediar.</x:v>
      </x:c>
      <x:c r="N86" s="17"/>
      <x:c r="O86" s="17"/>
    </x:row>
    <x:row r="87" ht="15" hidden="0" customHeight="1">
      <x:c r="A87" s="7" t="str">
        <x:v>SIAJ-0128</x:v>
      </x:c>
      <x:c r="B87" s="7" t="str">
        <x:v>SAST</x:v>
      </x:c>
      <x:c r="C87" s="7" t="str">
        <x:v>MEDIUM</x:v>
      </x:c>
      <x:c r="D87" s="8" t="str">
        <x:v>Parameter_Tampering 113/196</x:v>
      </x:c>
      <x:c r="E87" s="7" t="str">
        <x:v>Código fuente Java</x:v>
      </x:c>
      <x:c r="F87" s="7" t="str"/>
      <x:c r="G87" s="7" t="str">
        <x:v>CWE-472</x:v>
      </x:c>
      <x:c r="H87" s="7" t="str"/>
      <x:c r="I87" s="7" t="n">
        <x:v>20</x:v>
      </x:c>
      <x:c r="J87" s="9" t="str">
        <x:v>PENDIENTE</x:v>
      </x:c>
      <x:c r="K87" s="10" t="n">
        <x:v>46706</x:v>
      </x:c>
      <x:c r="L87" s="7" t="str">
        <x:v>Avance 2027-11-15</x:v>
      </x:c>
      <x:c r="M87" s="8" t="str">
        <x:v>Validar aplicabilidad antes de remediar.</x:v>
      </x:c>
      <x:c r="N87" s="17"/>
      <x:c r="O87" s="17"/>
    </x:row>
    <x:row r="88" ht="15" hidden="0" customHeight="1">
      <x:c r="A88" s="7" t="str">
        <x:v>SIAJ-0129</x:v>
      </x:c>
      <x:c r="B88" s="7" t="str">
        <x:v>SAST</x:v>
      </x:c>
      <x:c r="C88" s="7" t="str">
        <x:v>MEDIUM</x:v>
      </x:c>
      <x:c r="D88" s="8" t="str">
        <x:v>Parameter_Tampering 114/196</x:v>
      </x:c>
      <x:c r="E88" s="7" t="str">
        <x:v>Código fuente Java</x:v>
      </x:c>
      <x:c r="F88" s="7" t="str"/>
      <x:c r="G88" s="7" t="str">
        <x:v>CWE-472</x:v>
      </x:c>
      <x:c r="H88" s="7" t="str"/>
      <x:c r="I88" s="7" t="n">
        <x:v>20</x:v>
      </x:c>
      <x:c r="J88" s="9" t="str">
        <x:v>PENDIENTE</x:v>
      </x:c>
      <x:c r="K88" s="10" t="n">
        <x:v>46706</x:v>
      </x:c>
      <x:c r="L88" s="7" t="str">
        <x:v>Avance 2027-11-15</x:v>
      </x:c>
      <x:c r="M88" s="8" t="str">
        <x:v>Validar aplicabilidad antes de remediar.</x:v>
      </x:c>
      <x:c r="N88" s="17"/>
      <x:c r="O88" s="17"/>
    </x:row>
    <x:row r="89" ht="15" hidden="0" customHeight="1">
      <x:c r="A89" s="7" t="str">
        <x:v>SIAJ-0130</x:v>
      </x:c>
      <x:c r="B89" s="7" t="str">
        <x:v>SAST</x:v>
      </x:c>
      <x:c r="C89" s="7" t="str">
        <x:v>MEDIUM</x:v>
      </x:c>
      <x:c r="D89" s="8" t="str">
        <x:v>Parameter_Tampering 115/196</x:v>
      </x:c>
      <x:c r="E89" s="7" t="str">
        <x:v>Código fuente Java</x:v>
      </x:c>
      <x:c r="F89" s="7" t="str"/>
      <x:c r="G89" s="7" t="str">
        <x:v>CWE-472</x:v>
      </x:c>
      <x:c r="H89" s="7" t="str"/>
      <x:c r="I89" s="7" t="n">
        <x:v>20</x:v>
      </x:c>
      <x:c r="J89" s="9" t="str">
        <x:v>PENDIENTE</x:v>
      </x:c>
      <x:c r="K89" s="10" t="n">
        <x:v>46706</x:v>
      </x:c>
      <x:c r="L89" s="7" t="str">
        <x:v>Avance 2027-11-15</x:v>
      </x:c>
      <x:c r="M89" s="8" t="str">
        <x:v>Validar aplicabilidad antes de remediar.</x:v>
      </x:c>
      <x:c r="N89" s="17"/>
      <x:c r="O89" s="17"/>
    </x:row>
    <x:row r="90" ht="15" hidden="0" customHeight="1">
      <x:c r="A90" s="7" t="str">
        <x:v>SIAJ-0131</x:v>
      </x:c>
      <x:c r="B90" s="7" t="str">
        <x:v>SAST</x:v>
      </x:c>
      <x:c r="C90" s="7" t="str">
        <x:v>MEDIUM</x:v>
      </x:c>
      <x:c r="D90" s="8" t="str">
        <x:v>Parameter_Tampering 116/196</x:v>
      </x:c>
      <x:c r="E90" s="7" t="str">
        <x:v>Código fuente Java</x:v>
      </x:c>
      <x:c r="F90" s="7" t="str"/>
      <x:c r="G90" s="7" t="str">
        <x:v>CWE-472</x:v>
      </x:c>
      <x:c r="H90" s="7" t="str"/>
      <x:c r="I90" s="7" t="n">
        <x:v>20</x:v>
      </x:c>
      <x:c r="J90" s="9" t="str">
        <x:v>PENDIENTE</x:v>
      </x:c>
      <x:c r="K90" s="10" t="n">
        <x:v>46736</x:v>
      </x:c>
      <x:c r="L90" s="7" t="str">
        <x:v>Avance 2027-12-15</x:v>
      </x:c>
      <x:c r="M90" s="8" t="str">
        <x:v>Validar aplicabilidad antes de remediar.</x:v>
      </x:c>
      <x:c r="N90" s="17"/>
      <x:c r="O90" s="17"/>
    </x:row>
    <x:row r="91" ht="15" hidden="0" customHeight="1">
      <x:c r="A91" s="7" t="str">
        <x:v>SIAJ-0132</x:v>
      </x:c>
      <x:c r="B91" s="7" t="str">
        <x:v>SAST</x:v>
      </x:c>
      <x:c r="C91" s="7" t="str">
        <x:v>MEDIUM</x:v>
      </x:c>
      <x:c r="D91" s="8" t="str">
        <x:v>Parameter_Tampering 117/196</x:v>
      </x:c>
      <x:c r="E91" s="7" t="str">
        <x:v>Código fuente Java</x:v>
      </x:c>
      <x:c r="F91" s="7" t="str"/>
      <x:c r="G91" s="7" t="str">
        <x:v>CWE-472</x:v>
      </x:c>
      <x:c r="H91" s="7" t="str"/>
      <x:c r="I91" s="7" t="n">
        <x:v>20</x:v>
      </x:c>
      <x:c r="J91" s="9" t="str">
        <x:v>PENDIENTE</x:v>
      </x:c>
      <x:c r="K91" s="10" t="n">
        <x:v>46736</x:v>
      </x:c>
      <x:c r="L91" s="7" t="str">
        <x:v>Avance 2027-12-15</x:v>
      </x:c>
      <x:c r="M91" s="8" t="str">
        <x:v>Validar aplicabilidad antes de remediar.</x:v>
      </x:c>
      <x:c r="N91" s="17"/>
      <x:c r="O91" s="17"/>
    </x:row>
    <x:row r="92" ht="15" hidden="0" customHeight="1">
      <x:c r="A92" s="7" t="str">
        <x:v>SIAJ-0133</x:v>
      </x:c>
      <x:c r="B92" s="7" t="str">
        <x:v>SAST</x:v>
      </x:c>
      <x:c r="C92" s="7" t="str">
        <x:v>MEDIUM</x:v>
      </x:c>
      <x:c r="D92" s="8" t="str">
        <x:v>Parameter_Tampering 118/196</x:v>
      </x:c>
      <x:c r="E92" s="7" t="str">
        <x:v>Código fuente Java</x:v>
      </x:c>
      <x:c r="F92" s="7" t="str"/>
      <x:c r="G92" s="7" t="str">
        <x:v>CWE-472</x:v>
      </x:c>
      <x:c r="H92" s="7" t="str"/>
      <x:c r="I92" s="7" t="n">
        <x:v>20</x:v>
      </x:c>
      <x:c r="J92" s="9" t="str">
        <x:v>PENDIENTE</x:v>
      </x:c>
      <x:c r="K92" s="10" t="n">
        <x:v>46736</x:v>
      </x:c>
      <x:c r="L92" s="7" t="str">
        <x:v>Avance 2027-12-15</x:v>
      </x:c>
      <x:c r="M92" s="8" t="str">
        <x:v>Validar aplicabilidad antes de remediar.</x:v>
      </x:c>
      <x:c r="N92" s="17"/>
      <x:c r="O92" s="17"/>
    </x:row>
    <x:row r="93" ht="15" hidden="0" customHeight="1">
      <x:c r="A93" s="7" t="str">
        <x:v>SIAJ-0134</x:v>
      </x:c>
      <x:c r="B93" s="7" t="str">
        <x:v>SAST</x:v>
      </x:c>
      <x:c r="C93" s="7" t="str">
        <x:v>MEDIUM</x:v>
      </x:c>
      <x:c r="D93" s="8" t="str">
        <x:v>Parameter_Tampering 119/196</x:v>
      </x:c>
      <x:c r="E93" s="7" t="str">
        <x:v>Código fuente Java</x:v>
      </x:c>
      <x:c r="F93" s="7" t="str"/>
      <x:c r="G93" s="7" t="str">
        <x:v>CWE-472</x:v>
      </x:c>
      <x:c r="H93" s="7" t="str"/>
      <x:c r="I93" s="7" t="n">
        <x:v>20</x:v>
      </x:c>
      <x:c r="J93" s="9" t="str">
        <x:v>PENDIENTE</x:v>
      </x:c>
      <x:c r="K93" s="10" t="n">
        <x:v>46736</x:v>
      </x:c>
      <x:c r="L93" s="7" t="str">
        <x:v>Avance 2027-12-15</x:v>
      </x:c>
      <x:c r="M93" s="8" t="str">
        <x:v>Validar aplicabilidad antes de remediar.</x:v>
      </x:c>
      <x:c r="N93" s="17"/>
      <x:c r="O93" s="17"/>
    </x:row>
    <x:row r="94" ht="15" hidden="0" customHeight="1">
      <x:c r="A94" s="7" t="str">
        <x:v>SIAJ-0027</x:v>
      </x:c>
      <x:c r="B94" s="7" t="str">
        <x:v>SAST</x:v>
      </x:c>
      <x:c r="C94" s="7" t="str">
        <x:v>MEDIUM</x:v>
      </x:c>
      <x:c r="D94" s="8" t="str">
        <x:v>Parameter_Tampering 12/196</x:v>
      </x:c>
      <x:c r="E94" s="7" t="str">
        <x:v>Código fuente Java</x:v>
      </x:c>
      <x:c r="F94" s="7" t="str"/>
      <x:c r="G94" s="7" t="str">
        <x:v>CWE-472</x:v>
      </x:c>
      <x:c r="H94" s="7" t="str"/>
      <x:c r="I94" s="7" t="n">
        <x:v>20</x:v>
      </x:c>
      <x:c r="J94" s="9" t="str">
        <x:v>PENDIENTE</x:v>
      </x:c>
      <x:c r="K94" s="10" t="n">
        <x:v>46736</x:v>
      </x:c>
      <x:c r="L94" s="7" t="str">
        <x:v>Avance 2027-12-15</x:v>
      </x:c>
      <x:c r="M94" s="8" t="str">
        <x:v>Validar aplicabilidad antes de remediar.</x:v>
      </x:c>
      <x:c r="N94" s="17"/>
      <x:c r="O94" s="17"/>
    </x:row>
    <x:row r="95" ht="15" hidden="0" customHeight="1">
      <x:c r="A95" s="7" t="str">
        <x:v>SIAJ-0135</x:v>
      </x:c>
      <x:c r="B95" s="7" t="str">
        <x:v>SAST</x:v>
      </x:c>
      <x:c r="C95" s="7" t="str">
        <x:v>MEDIUM</x:v>
      </x:c>
      <x:c r="D95" s="8" t="str">
        <x:v>Parameter_Tampering 120/196</x:v>
      </x:c>
      <x:c r="E95" s="7" t="str">
        <x:v>Código fuente Java</x:v>
      </x:c>
      <x:c r="F95" s="7" t="str"/>
      <x:c r="G95" s="7" t="str">
        <x:v>CWE-472</x:v>
      </x:c>
      <x:c r="H95" s="7" t="str"/>
      <x:c r="I95" s="7" t="n">
        <x:v>20</x:v>
      </x:c>
      <x:c r="J95" s="9" t="str">
        <x:v>PENDIENTE</x:v>
      </x:c>
      <x:c r="K95" s="10" t="n">
        <x:v>46736</x:v>
      </x:c>
      <x:c r="L95" s="7" t="str">
        <x:v>Avance 2027-12-15</x:v>
      </x:c>
      <x:c r="M95" s="8" t="str">
        <x:v>Validar aplicabilidad antes de remediar.</x:v>
      </x:c>
      <x:c r="N95" s="17"/>
      <x:c r="O95" s="17"/>
    </x:row>
    <x:row r="96" ht="15" hidden="0" customHeight="1">
      <x:c r="A96" s="7" t="str">
        <x:v>SIAJ-0136</x:v>
      </x:c>
      <x:c r="B96" s="7" t="str">
        <x:v>SAST</x:v>
      </x:c>
      <x:c r="C96" s="7" t="str">
        <x:v>MEDIUM</x:v>
      </x:c>
      <x:c r="D96" s="8" t="str">
        <x:v>Parameter_Tampering 121/196</x:v>
      </x:c>
      <x:c r="E96" s="7" t="str">
        <x:v>Código fuente Java</x:v>
      </x:c>
      <x:c r="F96" s="7" t="str"/>
      <x:c r="G96" s="7" t="str">
        <x:v>CWE-472</x:v>
      </x:c>
      <x:c r="H96" s="7" t="str"/>
      <x:c r="I96" s="7" t="n">
        <x:v>20</x:v>
      </x:c>
      <x:c r="J96" s="9" t="str">
        <x:v>PENDIENTE</x:v>
      </x:c>
      <x:c r="K96" s="10" t="n">
        <x:v>46736</x:v>
      </x:c>
      <x:c r="L96" s="7" t="str">
        <x:v>Avance 2027-12-15</x:v>
      </x:c>
      <x:c r="M96" s="8" t="str">
        <x:v>Validar aplicabilidad antes de remediar.</x:v>
      </x:c>
      <x:c r="N96" s="17"/>
      <x:c r="O96" s="17"/>
    </x:row>
    <x:row r="97" ht="15" hidden="0" customHeight="1">
      <x:c r="A97" s="7" t="str">
        <x:v>SIAJ-0137</x:v>
      </x:c>
      <x:c r="B97" s="7" t="str">
        <x:v>SAST</x:v>
      </x:c>
      <x:c r="C97" s="7" t="str">
        <x:v>MEDIUM</x:v>
      </x:c>
      <x:c r="D97" s="8" t="str">
        <x:v>Parameter_Tampering 122/196</x:v>
      </x:c>
      <x:c r="E97" s="7" t="str">
        <x:v>Código fuente Java</x:v>
      </x:c>
      <x:c r="F97" s="7" t="str"/>
      <x:c r="G97" s="7" t="str">
        <x:v>CWE-472</x:v>
      </x:c>
      <x:c r="H97" s="7" t="str"/>
      <x:c r="I97" s="7" t="n">
        <x:v>20</x:v>
      </x:c>
      <x:c r="J97" s="9" t="str">
        <x:v>PENDIENTE</x:v>
      </x:c>
      <x:c r="K97" s="10" t="n">
        <x:v>46736</x:v>
      </x:c>
      <x:c r="L97" s="7" t="str">
        <x:v>Avance 2027-12-15</x:v>
      </x:c>
      <x:c r="M97" s="8" t="str">
        <x:v>Validar aplicabilidad antes de remediar.</x:v>
      </x:c>
      <x:c r="N97" s="17"/>
      <x:c r="O97" s="17"/>
    </x:row>
    <x:row r="98" ht="15" hidden="0" customHeight="1">
      <x:c r="A98" s="7" t="str">
        <x:v>SIAJ-0138</x:v>
      </x:c>
      <x:c r="B98" s="7" t="str">
        <x:v>SAST</x:v>
      </x:c>
      <x:c r="C98" s="7" t="str">
        <x:v>MEDIUM</x:v>
      </x:c>
      <x:c r="D98" s="8" t="str">
        <x:v>Parameter_Tampering 123/196</x:v>
      </x:c>
      <x:c r="E98" s="7" t="str">
        <x:v>Código fuente Java</x:v>
      </x:c>
      <x:c r="F98" s="7" t="str"/>
      <x:c r="G98" s="7" t="str">
        <x:v>CWE-472</x:v>
      </x:c>
      <x:c r="H98" s="7" t="str"/>
      <x:c r="I98" s="7" t="n">
        <x:v>20</x:v>
      </x:c>
      <x:c r="J98" s="9" t="str">
        <x:v>PENDIENTE</x:v>
      </x:c>
      <x:c r="K98" s="10" t="n">
        <x:v>46736</x:v>
      </x:c>
      <x:c r="L98" s="7" t="str">
        <x:v>Avance 2027-12-15</x:v>
      </x:c>
      <x:c r="M98" s="8" t="str">
        <x:v>Validar aplicabilidad antes de remediar.</x:v>
      </x:c>
      <x:c r="N98" s="17"/>
      <x:c r="O98" s="17"/>
    </x:row>
    <x:row r="99" ht="15" hidden="0" customHeight="1">
      <x:c r="A99" s="7" t="str">
        <x:v>SIAJ-0139</x:v>
      </x:c>
      <x:c r="B99" s="7" t="str">
        <x:v>SAST</x:v>
      </x:c>
      <x:c r="C99" s="7" t="str">
        <x:v>MEDIUM</x:v>
      </x:c>
      <x:c r="D99" s="8" t="str">
        <x:v>Parameter_Tampering 124/196</x:v>
      </x:c>
      <x:c r="E99" s="7" t="str">
        <x:v>Código fuente Java</x:v>
      </x:c>
      <x:c r="F99" s="7" t="str"/>
      <x:c r="G99" s="7" t="str">
        <x:v>CWE-472</x:v>
      </x:c>
      <x:c r="H99" s="7" t="str"/>
      <x:c r="I99" s="7" t="n">
        <x:v>20</x:v>
      </x:c>
      <x:c r="J99" s="9" t="str">
        <x:v>PENDIENTE</x:v>
      </x:c>
      <x:c r="K99" s="10" t="n">
        <x:v>46736</x:v>
      </x:c>
      <x:c r="L99" s="7" t="str">
        <x:v>Avance 2027-12-15</x:v>
      </x:c>
      <x:c r="M99" s="8" t="str">
        <x:v>Validar aplicabilidad antes de remediar.</x:v>
      </x:c>
      <x:c r="N99" s="17"/>
      <x:c r="O99" s="17"/>
    </x:row>
    <x:row r="100" ht="15" hidden="0" customHeight="1">
      <x:c r="A100" s="7" t="str">
        <x:v>SIAJ-0140</x:v>
      </x:c>
      <x:c r="B100" s="7" t="str">
        <x:v>SAST</x:v>
      </x:c>
      <x:c r="C100" s="7" t="str">
        <x:v>MEDIUM</x:v>
      </x:c>
      <x:c r="D100" s="8" t="str">
        <x:v>Parameter_Tampering 125/196</x:v>
      </x:c>
      <x:c r="E100" s="7" t="str">
        <x:v>Código fuente Java</x:v>
      </x:c>
      <x:c r="F100" s="7" t="str"/>
      <x:c r="G100" s="7" t="str">
        <x:v>CWE-472</x:v>
      </x:c>
      <x:c r="H100" s="7" t="str"/>
      <x:c r="I100" s="7" t="n">
        <x:v>20</x:v>
      </x:c>
      <x:c r="J100" s="9" t="str">
        <x:v>PENDIENTE</x:v>
      </x:c>
      <x:c r="K100" s="10" t="n">
        <x:v>46736</x:v>
      </x:c>
      <x:c r="L100" s="7" t="str">
        <x:v>Avance 2027-12-15</x:v>
      </x:c>
      <x:c r="M100" s="8" t="str">
        <x:v>Validar aplicabilidad antes de remediar.</x:v>
      </x:c>
      <x:c r="N100" s="17"/>
      <x:c r="O100" s="17"/>
    </x:row>
    <x:row r="101" ht="15" hidden="0" customHeight="1">
      <x:c r="A101" s="7" t="str">
        <x:v>SIAJ-0141</x:v>
      </x:c>
      <x:c r="B101" s="7" t="str">
        <x:v>SAST</x:v>
      </x:c>
      <x:c r="C101" s="7" t="str">
        <x:v>MEDIUM</x:v>
      </x:c>
      <x:c r="D101" s="8" t="str">
        <x:v>Parameter_Tampering 126/196</x:v>
      </x:c>
      <x:c r="E101" s="7" t="str">
        <x:v>Código fuente Java</x:v>
      </x:c>
      <x:c r="F101" s="7" t="str"/>
      <x:c r="G101" s="7" t="str">
        <x:v>CWE-472</x:v>
      </x:c>
      <x:c r="H101" s="7" t="str"/>
      <x:c r="I101" s="7" t="n">
        <x:v>20</x:v>
      </x:c>
      <x:c r="J101" s="9" t="str">
        <x:v>PENDIENTE</x:v>
      </x:c>
      <x:c r="K101" s="10" t="n">
        <x:v>46736</x:v>
      </x:c>
      <x:c r="L101" s="7" t="str">
        <x:v>Avance 2027-12-15</x:v>
      </x:c>
      <x:c r="M101" s="8" t="str">
        <x:v>Validar aplicabilidad antes de remediar.</x:v>
      </x:c>
      <x:c r="N101" s="17"/>
      <x:c r="O101" s="17"/>
    </x:row>
    <x:row r="102" ht="15" hidden="0" customHeight="1">
      <x:c r="A102" s="7" t="str">
        <x:v>SIAJ-0142</x:v>
      </x:c>
      <x:c r="B102" s="7" t="str">
        <x:v>SAST</x:v>
      </x:c>
      <x:c r="C102" s="7" t="str">
        <x:v>MEDIUM</x:v>
      </x:c>
      <x:c r="D102" s="8" t="str">
        <x:v>Parameter_Tampering 127/196</x:v>
      </x:c>
      <x:c r="E102" s="7" t="str">
        <x:v>Código fuente Java</x:v>
      </x:c>
      <x:c r="F102" s="7" t="str"/>
      <x:c r="G102" s="7" t="str">
        <x:v>CWE-472</x:v>
      </x:c>
      <x:c r="H102" s="7" t="str"/>
      <x:c r="I102" s="7" t="n">
        <x:v>20</x:v>
      </x:c>
      <x:c r="J102" s="9" t="str">
        <x:v>PENDIENTE</x:v>
      </x:c>
      <x:c r="K102" s="10" t="n">
        <x:v>46736</x:v>
      </x:c>
      <x:c r="L102" s="7" t="str">
        <x:v>Avance 2027-12-15</x:v>
      </x:c>
      <x:c r="M102" s="8" t="str">
        <x:v>Validar aplicabilidad antes de remediar.</x:v>
      </x:c>
      <x:c r="N102" s="17"/>
      <x:c r="O102" s="17"/>
    </x:row>
    <x:row r="103" ht="15" hidden="0" customHeight="1">
      <x:c r="A103" s="7" t="str">
        <x:v>SIAJ-0143</x:v>
      </x:c>
      <x:c r="B103" s="7" t="str">
        <x:v>SAST</x:v>
      </x:c>
      <x:c r="C103" s="7" t="str">
        <x:v>MEDIUM</x:v>
      </x:c>
      <x:c r="D103" s="8" t="str">
        <x:v>Parameter_Tampering 128/196</x:v>
      </x:c>
      <x:c r="E103" s="7" t="str">
        <x:v>Código fuente Java</x:v>
      </x:c>
      <x:c r="F103" s="7" t="str"/>
      <x:c r="G103" s="7" t="str">
        <x:v>CWE-472</x:v>
      </x:c>
      <x:c r="H103" s="7" t="str"/>
      <x:c r="I103" s="7" t="n">
        <x:v>20</x:v>
      </x:c>
      <x:c r="J103" s="9" t="str">
        <x:v>PENDIENTE</x:v>
      </x:c>
      <x:c r="K103" s="10" t="n">
        <x:v>46736</x:v>
      </x:c>
      <x:c r="L103" s="7" t="str">
        <x:v>Avance 2027-12-15</x:v>
      </x:c>
      <x:c r="M103" s="8" t="str">
        <x:v>Validar aplicabilidad antes de remediar.</x:v>
      </x:c>
      <x:c r="N103" s="17"/>
      <x:c r="O103" s="17"/>
    </x:row>
    <x:row r="104" ht="15" hidden="0" customHeight="1">
      <x:c r="A104" s="7" t="str">
        <x:v>SIAJ-0144</x:v>
      </x:c>
      <x:c r="B104" s="7" t="str">
        <x:v>SAST</x:v>
      </x:c>
      <x:c r="C104" s="7" t="str">
        <x:v>MEDIUM</x:v>
      </x:c>
      <x:c r="D104" s="8" t="str">
        <x:v>Parameter_Tampering 129/196</x:v>
      </x:c>
      <x:c r="E104" s="7" t="str">
        <x:v>Código fuente Java</x:v>
      </x:c>
      <x:c r="F104" s="7" t="str"/>
      <x:c r="G104" s="7" t="str">
        <x:v>CWE-472</x:v>
      </x:c>
      <x:c r="H104" s="7" t="str"/>
      <x:c r="I104" s="7" t="n">
        <x:v>20</x:v>
      </x:c>
      <x:c r="J104" s="9" t="str">
        <x:v>PENDIENTE</x:v>
      </x:c>
      <x:c r="K104" s="10" t="n">
        <x:v>46736</x:v>
      </x:c>
      <x:c r="L104" s="7" t="str">
        <x:v>Avance 2027-12-15</x:v>
      </x:c>
      <x:c r="M104" s="8" t="str">
        <x:v>Validar aplicabilidad antes de remediar.</x:v>
      </x:c>
      <x:c r="N104" s="17"/>
      <x:c r="O104" s="17"/>
    </x:row>
    <x:row r="105" ht="15" hidden="0" customHeight="1">
      <x:c r="A105" s="7" t="str">
        <x:v>SIAJ-0028</x:v>
      </x:c>
      <x:c r="B105" s="7" t="str">
        <x:v>SAST</x:v>
      </x:c>
      <x:c r="C105" s="7" t="str">
        <x:v>MEDIUM</x:v>
      </x:c>
      <x:c r="D105" s="8" t="str">
        <x:v>Parameter_Tampering 13/196</x:v>
      </x:c>
      <x:c r="E105" s="7" t="str">
        <x:v>Código fuente Java</x:v>
      </x:c>
      <x:c r="F105" s="7" t="str"/>
      <x:c r="G105" s="7" t="str">
        <x:v>CWE-472</x:v>
      </x:c>
      <x:c r="H105" s="7" t="str"/>
      <x:c r="I105" s="7" t="n">
        <x:v>20</x:v>
      </x:c>
      <x:c r="J105" s="9" t="str">
        <x:v>PENDIENTE</x:v>
      </x:c>
      <x:c r="K105" s="10" t="n">
        <x:v>46736</x:v>
      </x:c>
      <x:c r="L105" s="7" t="str">
        <x:v>Avance 2027-12-15</x:v>
      </x:c>
      <x:c r="M105" s="8" t="str">
        <x:v>Validar aplicabilidad antes de remediar.</x:v>
      </x:c>
      <x:c r="N105" s="17"/>
      <x:c r="O105" s="17"/>
    </x:row>
    <x:row r="106" ht="15" hidden="0" customHeight="1">
      <x:c r="A106" s="7" t="str">
        <x:v>SIAJ-0145</x:v>
      </x:c>
      <x:c r="B106" s="7" t="str">
        <x:v>SAST</x:v>
      </x:c>
      <x:c r="C106" s="7" t="str">
        <x:v>MEDIUM</x:v>
      </x:c>
      <x:c r="D106" s="8" t="str">
        <x:v>Parameter_Tampering 130/196</x:v>
      </x:c>
      <x:c r="E106" s="7" t="str">
        <x:v>Código fuente Java</x:v>
      </x:c>
      <x:c r="F106" s="7" t="str"/>
      <x:c r="G106" s="7" t="str">
        <x:v>CWE-472</x:v>
      </x:c>
      <x:c r="H106" s="7" t="str"/>
      <x:c r="I106" s="7" t="n">
        <x:v>20</x:v>
      </x:c>
      <x:c r="J106" s="9" t="str">
        <x:v>PENDIENTE</x:v>
      </x:c>
      <x:c r="K106" s="10" t="n">
        <x:v>46736</x:v>
      </x:c>
      <x:c r="L106" s="7" t="str">
        <x:v>Avance 2027-12-15</x:v>
      </x:c>
      <x:c r="M106" s="8" t="str">
        <x:v>Validar aplicabilidad antes de remediar.</x:v>
      </x:c>
      <x:c r="N106" s="17"/>
      <x:c r="O106" s="17"/>
    </x:row>
    <x:row r="107" ht="15" hidden="0" customHeight="1">
      <x:c r="A107" s="7" t="str">
        <x:v>SIAJ-0146</x:v>
      </x:c>
      <x:c r="B107" s="7" t="str">
        <x:v>SAST</x:v>
      </x:c>
      <x:c r="C107" s="7" t="str">
        <x:v>MEDIUM</x:v>
      </x:c>
      <x:c r="D107" s="8" t="str">
        <x:v>Parameter_Tampering 131/196</x:v>
      </x:c>
      <x:c r="E107" s="7" t="str">
        <x:v>Código fuente Java</x:v>
      </x:c>
      <x:c r="F107" s="7" t="str"/>
      <x:c r="G107" s="7" t="str">
        <x:v>CWE-472</x:v>
      </x:c>
      <x:c r="H107" s="7" t="str"/>
      <x:c r="I107" s="7" t="n">
        <x:v>20</x:v>
      </x:c>
      <x:c r="J107" s="9" t="str">
        <x:v>PENDIENTE</x:v>
      </x:c>
      <x:c r="K107" s="10" t="n">
        <x:v>46736</x:v>
      </x:c>
      <x:c r="L107" s="7" t="str">
        <x:v>Avance 2027-12-15</x:v>
      </x:c>
      <x:c r="M107" s="8" t="str">
        <x:v>Validar aplicabilidad antes de remediar.</x:v>
      </x:c>
      <x:c r="N107" s="17"/>
      <x:c r="O107" s="17"/>
    </x:row>
    <x:row r="108" ht="15" hidden="0" customHeight="1">
      <x:c r="A108" s="7" t="str">
        <x:v>SIAJ-0147</x:v>
      </x:c>
      <x:c r="B108" s="7" t="str">
        <x:v>SAST</x:v>
      </x:c>
      <x:c r="C108" s="7" t="str">
        <x:v>MEDIUM</x:v>
      </x:c>
      <x:c r="D108" s="8" t="str">
        <x:v>Parameter_Tampering 132/196</x:v>
      </x:c>
      <x:c r="E108" s="7" t="str">
        <x:v>Código fuente Java</x:v>
      </x:c>
      <x:c r="F108" s="7" t="str"/>
      <x:c r="G108" s="7" t="str">
        <x:v>CWE-472</x:v>
      </x:c>
      <x:c r="H108" s="7" t="str"/>
      <x:c r="I108" s="7" t="n">
        <x:v>20</x:v>
      </x:c>
      <x:c r="J108" s="9" t="str">
        <x:v>PENDIENTE</x:v>
      </x:c>
      <x:c r="K108" s="10" t="n">
        <x:v>46767</x:v>
      </x:c>
      <x:c r="L108" s="7" t="str">
        <x:v>Avance 2028-01-15</x:v>
      </x:c>
      <x:c r="M108" s="8" t="str">
        <x:v>Validar aplicabilidad antes de remediar.</x:v>
      </x:c>
      <x:c r="N108" s="17"/>
      <x:c r="O108" s="17"/>
    </x:row>
    <x:row r="109" ht="15" hidden="0" customHeight="1">
      <x:c r="A109" s="7" t="str">
        <x:v>SIAJ-0148</x:v>
      </x:c>
      <x:c r="B109" s="7" t="str">
        <x:v>SAST</x:v>
      </x:c>
      <x:c r="C109" s="7" t="str">
        <x:v>MEDIUM</x:v>
      </x:c>
      <x:c r="D109" s="8" t="str">
        <x:v>Parameter_Tampering 133/196</x:v>
      </x:c>
      <x:c r="E109" s="7" t="str">
        <x:v>Código fuente Java</x:v>
      </x:c>
      <x:c r="F109" s="7" t="str"/>
      <x:c r="G109" s="7" t="str">
        <x:v>CWE-472</x:v>
      </x:c>
      <x:c r="H109" s="7" t="str"/>
      <x:c r="I109" s="7" t="n">
        <x:v>20</x:v>
      </x:c>
      <x:c r="J109" s="9" t="str">
        <x:v>PENDIENTE</x:v>
      </x:c>
      <x:c r="K109" s="10" t="n">
        <x:v>46767</x:v>
      </x:c>
      <x:c r="L109" s="7" t="str">
        <x:v>Avance 2028-01-15</x:v>
      </x:c>
      <x:c r="M109" s="8" t="str">
        <x:v>Validar aplicabilidad antes de remediar.</x:v>
      </x:c>
      <x:c r="N109" s="17"/>
      <x:c r="O109" s="17"/>
    </x:row>
    <x:row r="110" ht="15" hidden="0" customHeight="1">
      <x:c r="A110" s="7" t="str">
        <x:v>SIAJ-0149</x:v>
      </x:c>
      <x:c r="B110" s="7" t="str">
        <x:v>SAST</x:v>
      </x:c>
      <x:c r="C110" s="7" t="str">
        <x:v>MEDIUM</x:v>
      </x:c>
      <x:c r="D110" s="8" t="str">
        <x:v>Parameter_Tampering 134/196</x:v>
      </x:c>
      <x:c r="E110" s="7" t="str">
        <x:v>Código fuente Java</x:v>
      </x:c>
      <x:c r="F110" s="7" t="str"/>
      <x:c r="G110" s="7" t="str">
        <x:v>CWE-472</x:v>
      </x:c>
      <x:c r="H110" s="7" t="str"/>
      <x:c r="I110" s="7" t="n">
        <x:v>20</x:v>
      </x:c>
      <x:c r="J110" s="9" t="str">
        <x:v>PENDIENTE</x:v>
      </x:c>
      <x:c r="K110" s="10" t="n">
        <x:v>46767</x:v>
      </x:c>
      <x:c r="L110" s="7" t="str">
        <x:v>Avance 2028-01-15</x:v>
      </x:c>
      <x:c r="M110" s="8" t="str">
        <x:v>Validar aplicabilidad antes de remediar.</x:v>
      </x:c>
      <x:c r="N110" s="17"/>
      <x:c r="O110" s="17"/>
    </x:row>
    <x:row r="111" ht="15" hidden="0" customHeight="1">
      <x:c r="A111" s="7" t="str">
        <x:v>SIAJ-0150</x:v>
      </x:c>
      <x:c r="B111" s="7" t="str">
        <x:v>SAST</x:v>
      </x:c>
      <x:c r="C111" s="7" t="str">
        <x:v>MEDIUM</x:v>
      </x:c>
      <x:c r="D111" s="8" t="str">
        <x:v>Parameter_Tampering 135/196</x:v>
      </x:c>
      <x:c r="E111" s="7" t="str">
        <x:v>Código fuente Java</x:v>
      </x:c>
      <x:c r="F111" s="7" t="str"/>
      <x:c r="G111" s="7" t="str">
        <x:v>CWE-472</x:v>
      </x:c>
      <x:c r="H111" s="7" t="str"/>
      <x:c r="I111" s="7" t="n">
        <x:v>20</x:v>
      </x:c>
      <x:c r="J111" s="9" t="str">
        <x:v>PENDIENTE</x:v>
      </x:c>
      <x:c r="K111" s="10" t="n">
        <x:v>46767</x:v>
      </x:c>
      <x:c r="L111" s="7" t="str">
        <x:v>Avance 2028-01-15</x:v>
      </x:c>
      <x:c r="M111" s="8" t="str">
        <x:v>Validar aplicabilidad antes de remediar.</x:v>
      </x:c>
      <x:c r="N111" s="17"/>
      <x:c r="O111" s="17"/>
    </x:row>
    <x:row r="112" ht="15" hidden="0" customHeight="1">
      <x:c r="A112" s="7" t="str">
        <x:v>SIAJ-0151</x:v>
      </x:c>
      <x:c r="B112" s="7" t="str">
        <x:v>SAST</x:v>
      </x:c>
      <x:c r="C112" s="7" t="str">
        <x:v>MEDIUM</x:v>
      </x:c>
      <x:c r="D112" s="8" t="str">
        <x:v>Parameter_Tampering 136/196</x:v>
      </x:c>
      <x:c r="E112" s="7" t="str">
        <x:v>Código fuente Java</x:v>
      </x:c>
      <x:c r="F112" s="7" t="str"/>
      <x:c r="G112" s="7" t="str">
        <x:v>CWE-472</x:v>
      </x:c>
      <x:c r="H112" s="7" t="str"/>
      <x:c r="I112" s="7" t="n">
        <x:v>20</x:v>
      </x:c>
      <x:c r="J112" s="9" t="str">
        <x:v>PENDIENTE</x:v>
      </x:c>
      <x:c r="K112" s="10" t="n">
        <x:v>46767</x:v>
      </x:c>
      <x:c r="L112" s="7" t="str">
        <x:v>Avance 2028-01-15</x:v>
      </x:c>
      <x:c r="M112" s="8" t="str">
        <x:v>Validar aplicabilidad antes de remediar.</x:v>
      </x:c>
      <x:c r="N112" s="17"/>
      <x:c r="O112" s="17"/>
    </x:row>
    <x:row r="113" ht="15" hidden="0" customHeight="1">
      <x:c r="A113" s="7" t="str">
        <x:v>SIAJ-0152</x:v>
      </x:c>
      <x:c r="B113" s="7" t="str">
        <x:v>SAST</x:v>
      </x:c>
      <x:c r="C113" s="7" t="str">
        <x:v>MEDIUM</x:v>
      </x:c>
      <x:c r="D113" s="8" t="str">
        <x:v>Parameter_Tampering 137/196</x:v>
      </x:c>
      <x:c r="E113" s="7" t="str">
        <x:v>Código fuente Java</x:v>
      </x:c>
      <x:c r="F113" s="7" t="str"/>
      <x:c r="G113" s="7" t="str">
        <x:v>CWE-472</x:v>
      </x:c>
      <x:c r="H113" s="7" t="str"/>
      <x:c r="I113" s="7" t="n">
        <x:v>20</x:v>
      </x:c>
      <x:c r="J113" s="9" t="str">
        <x:v>PENDIENTE</x:v>
      </x:c>
      <x:c r="K113" s="10" t="n">
        <x:v>46767</x:v>
      </x:c>
      <x:c r="L113" s="7" t="str">
        <x:v>Avance 2028-01-15</x:v>
      </x:c>
      <x:c r="M113" s="8" t="str">
        <x:v>Validar aplicabilidad antes de remediar.</x:v>
      </x:c>
      <x:c r="N113" s="17"/>
      <x:c r="O113" s="17"/>
    </x:row>
    <x:row r="114" ht="15" hidden="0" customHeight="1">
      <x:c r="A114" s="7" t="str">
        <x:v>SIAJ-0153</x:v>
      </x:c>
      <x:c r="B114" s="7" t="str">
        <x:v>SAST</x:v>
      </x:c>
      <x:c r="C114" s="7" t="str">
        <x:v>MEDIUM</x:v>
      </x:c>
      <x:c r="D114" s="8" t="str">
        <x:v>Parameter_Tampering 138/196</x:v>
      </x:c>
      <x:c r="E114" s="7" t="str">
        <x:v>Código fuente Java</x:v>
      </x:c>
      <x:c r="F114" s="7" t="str"/>
      <x:c r="G114" s="7" t="str">
        <x:v>CWE-472</x:v>
      </x:c>
      <x:c r="H114" s="7" t="str"/>
      <x:c r="I114" s="7" t="n">
        <x:v>20</x:v>
      </x:c>
      <x:c r="J114" s="9" t="str">
        <x:v>PENDIENTE</x:v>
      </x:c>
      <x:c r="K114" s="10" t="n">
        <x:v>46767</x:v>
      </x:c>
      <x:c r="L114" s="7" t="str">
        <x:v>Avance 2028-01-15</x:v>
      </x:c>
      <x:c r="M114" s="8" t="str">
        <x:v>Validar aplicabilidad antes de remediar.</x:v>
      </x:c>
      <x:c r="N114" s="17"/>
      <x:c r="O114" s="17"/>
    </x:row>
    <x:row r="115" ht="15" hidden="0" customHeight="1">
      <x:c r="A115" s="7" t="str">
        <x:v>SIAJ-0154</x:v>
      </x:c>
      <x:c r="B115" s="7" t="str">
        <x:v>SAST</x:v>
      </x:c>
      <x:c r="C115" s="7" t="str">
        <x:v>MEDIUM</x:v>
      </x:c>
      <x:c r="D115" s="8" t="str">
        <x:v>Parameter_Tampering 139/196</x:v>
      </x:c>
      <x:c r="E115" s="7" t="str">
        <x:v>Código fuente Java</x:v>
      </x:c>
      <x:c r="F115" s="7" t="str"/>
      <x:c r="G115" s="7" t="str">
        <x:v>CWE-472</x:v>
      </x:c>
      <x:c r="H115" s="7" t="str"/>
      <x:c r="I115" s="7" t="n">
        <x:v>20</x:v>
      </x:c>
      <x:c r="J115" s="9" t="str">
        <x:v>PENDIENTE</x:v>
      </x:c>
      <x:c r="K115" s="10" t="n">
        <x:v>46767</x:v>
      </x:c>
      <x:c r="L115" s="7" t="str">
        <x:v>Avance 2028-01-15</x:v>
      </x:c>
      <x:c r="M115" s="8" t="str">
        <x:v>Validar aplicabilidad antes de remediar.</x:v>
      </x:c>
      <x:c r="N115" s="17"/>
      <x:c r="O115" s="17"/>
    </x:row>
    <x:row r="116" ht="15" hidden="0" customHeight="1">
      <x:c r="A116" s="7" t="str">
        <x:v>SIAJ-0029</x:v>
      </x:c>
      <x:c r="B116" s="7" t="str">
        <x:v>SAST</x:v>
      </x:c>
      <x:c r="C116" s="7" t="str">
        <x:v>MEDIUM</x:v>
      </x:c>
      <x:c r="D116" s="8" t="str">
        <x:v>Parameter_Tampering 14/196</x:v>
      </x:c>
      <x:c r="E116" s="7" t="str">
        <x:v>Código fuente Java</x:v>
      </x:c>
      <x:c r="F116" s="7" t="str"/>
      <x:c r="G116" s="7" t="str">
        <x:v>CWE-472</x:v>
      </x:c>
      <x:c r="H116" s="7" t="str"/>
      <x:c r="I116" s="7" t="n">
        <x:v>20</x:v>
      </x:c>
      <x:c r="J116" s="9" t="str">
        <x:v>PENDIENTE</x:v>
      </x:c>
      <x:c r="K116" s="10" t="n">
        <x:v>46767</x:v>
      </x:c>
      <x:c r="L116" s="7" t="str">
        <x:v>Avance 2028-01-15</x:v>
      </x:c>
      <x:c r="M116" s="8" t="str">
        <x:v>Validar aplicabilidad antes de remediar.</x:v>
      </x:c>
      <x:c r="N116" s="17"/>
      <x:c r="O116" s="17"/>
    </x:row>
    <x:row r="117" ht="15" hidden="0" customHeight="1">
      <x:c r="A117" s="7" t="str">
        <x:v>SIAJ-0155</x:v>
      </x:c>
      <x:c r="B117" s="7" t="str">
        <x:v>SAST</x:v>
      </x:c>
      <x:c r="C117" s="7" t="str">
        <x:v>MEDIUM</x:v>
      </x:c>
      <x:c r="D117" s="8" t="str">
        <x:v>Parameter_Tampering 140/196</x:v>
      </x:c>
      <x:c r="E117" s="7" t="str">
        <x:v>Código fuente Java</x:v>
      </x:c>
      <x:c r="F117" s="7" t="str"/>
      <x:c r="G117" s="7" t="str">
        <x:v>CWE-472</x:v>
      </x:c>
      <x:c r="H117" s="7" t="str"/>
      <x:c r="I117" s="7" t="n">
        <x:v>20</x:v>
      </x:c>
      <x:c r="J117" s="9" t="str">
        <x:v>PENDIENTE</x:v>
      </x:c>
      <x:c r="K117" s="10" t="n">
        <x:v>46767</x:v>
      </x:c>
      <x:c r="L117" s="7" t="str">
        <x:v>Avance 2028-01-15</x:v>
      </x:c>
      <x:c r="M117" s="8" t="str">
        <x:v>Validar aplicabilidad antes de remediar.</x:v>
      </x:c>
      <x:c r="N117" s="17"/>
      <x:c r="O117" s="17"/>
    </x:row>
    <x:row r="118" ht="15" hidden="0" customHeight="1">
      <x:c r="A118" s="7" t="str">
        <x:v>SIAJ-0156</x:v>
      </x:c>
      <x:c r="B118" s="7" t="str">
        <x:v>SAST</x:v>
      </x:c>
      <x:c r="C118" s="7" t="str">
        <x:v>MEDIUM</x:v>
      </x:c>
      <x:c r="D118" s="8" t="str">
        <x:v>Parameter_Tampering 141/196</x:v>
      </x:c>
      <x:c r="E118" s="7" t="str">
        <x:v>Código fuente Java</x:v>
      </x:c>
      <x:c r="F118" s="7" t="str"/>
      <x:c r="G118" s="7" t="str">
        <x:v>CWE-472</x:v>
      </x:c>
      <x:c r="H118" s="7" t="str"/>
      <x:c r="I118" s="7" t="n">
        <x:v>20</x:v>
      </x:c>
      <x:c r="J118" s="9" t="str">
        <x:v>PENDIENTE</x:v>
      </x:c>
      <x:c r="K118" s="10" t="n">
        <x:v>46767</x:v>
      </x:c>
      <x:c r="L118" s="7" t="str">
        <x:v>Avance 2028-01-15</x:v>
      </x:c>
      <x:c r="M118" s="8" t="str">
        <x:v>Validar aplicabilidad antes de remediar.</x:v>
      </x:c>
      <x:c r="N118" s="17"/>
      <x:c r="O118" s="17"/>
    </x:row>
    <x:row r="119" ht="15" hidden="0" customHeight="1">
      <x:c r="A119" s="7" t="str">
        <x:v>SIAJ-0157</x:v>
      </x:c>
      <x:c r="B119" s="7" t="str">
        <x:v>SAST</x:v>
      </x:c>
      <x:c r="C119" s="7" t="str">
        <x:v>MEDIUM</x:v>
      </x:c>
      <x:c r="D119" s="8" t="str">
        <x:v>Parameter_Tampering 142/196</x:v>
      </x:c>
      <x:c r="E119" s="7" t="str">
        <x:v>Código fuente Java</x:v>
      </x:c>
      <x:c r="F119" s="7" t="str"/>
      <x:c r="G119" s="7" t="str">
        <x:v>CWE-472</x:v>
      </x:c>
      <x:c r="H119" s="7" t="str"/>
      <x:c r="I119" s="7" t="n">
        <x:v>20</x:v>
      </x:c>
      <x:c r="J119" s="9" t="str">
        <x:v>PENDIENTE</x:v>
      </x:c>
      <x:c r="K119" s="10" t="n">
        <x:v>46767</x:v>
      </x:c>
      <x:c r="L119" s="7" t="str">
        <x:v>Avance 2028-01-15</x:v>
      </x:c>
      <x:c r="M119" s="8" t="str">
        <x:v>Validar aplicabilidad antes de remediar.</x:v>
      </x:c>
      <x:c r="N119" s="17"/>
      <x:c r="O119" s="17"/>
    </x:row>
    <x:row r="120" ht="15" hidden="0" customHeight="1">
      <x:c r="A120" s="7" t="str">
        <x:v>SIAJ-0158</x:v>
      </x:c>
      <x:c r="B120" s="7" t="str">
        <x:v>SAST</x:v>
      </x:c>
      <x:c r="C120" s="7" t="str">
        <x:v>MEDIUM</x:v>
      </x:c>
      <x:c r="D120" s="8" t="str">
        <x:v>Parameter_Tampering 143/196</x:v>
      </x:c>
      <x:c r="E120" s="7" t="str">
        <x:v>Código fuente Java</x:v>
      </x:c>
      <x:c r="F120" s="7" t="str"/>
      <x:c r="G120" s="7" t="str">
        <x:v>CWE-472</x:v>
      </x:c>
      <x:c r="H120" s="7" t="str"/>
      <x:c r="I120" s="7" t="n">
        <x:v>20</x:v>
      </x:c>
      <x:c r="J120" s="9" t="str">
        <x:v>PENDIENTE</x:v>
      </x:c>
      <x:c r="K120" s="10" t="n">
        <x:v>46767</x:v>
      </x:c>
      <x:c r="L120" s="7" t="str">
        <x:v>Avance 2028-01-15</x:v>
      </x:c>
      <x:c r="M120" s="8" t="str">
        <x:v>Validar aplicabilidad antes de remediar.</x:v>
      </x:c>
      <x:c r="N120" s="17"/>
      <x:c r="O120" s="17"/>
    </x:row>
    <x:row r="121" ht="15" hidden="0" customHeight="1">
      <x:c r="A121" s="7" t="str">
        <x:v>SIAJ-0159</x:v>
      </x:c>
      <x:c r="B121" s="7" t="str">
        <x:v>SAST</x:v>
      </x:c>
      <x:c r="C121" s="7" t="str">
        <x:v>MEDIUM</x:v>
      </x:c>
      <x:c r="D121" s="8" t="str">
        <x:v>Parameter_Tampering 144/196</x:v>
      </x:c>
      <x:c r="E121" s="7" t="str">
        <x:v>Código fuente Java</x:v>
      </x:c>
      <x:c r="F121" s="7" t="str"/>
      <x:c r="G121" s="7" t="str">
        <x:v>CWE-472</x:v>
      </x:c>
      <x:c r="H121" s="7" t="str"/>
      <x:c r="I121" s="7" t="n">
        <x:v>20</x:v>
      </x:c>
      <x:c r="J121" s="9" t="str">
        <x:v>PENDIENTE</x:v>
      </x:c>
      <x:c r="K121" s="10" t="n">
        <x:v>46767</x:v>
      </x:c>
      <x:c r="L121" s="7" t="str">
        <x:v>Avance 2028-01-15</x:v>
      </x:c>
      <x:c r="M121" s="8" t="str">
        <x:v>Validar aplicabilidad antes de remediar.</x:v>
      </x:c>
      <x:c r="N121" s="17"/>
      <x:c r="O121" s="17"/>
    </x:row>
    <x:row r="122" ht="15" hidden="0" customHeight="1">
      <x:c r="A122" s="7" t="str">
        <x:v>SIAJ-0160</x:v>
      </x:c>
      <x:c r="B122" s="7" t="str">
        <x:v>SAST</x:v>
      </x:c>
      <x:c r="C122" s="7" t="str">
        <x:v>MEDIUM</x:v>
      </x:c>
      <x:c r="D122" s="8" t="str">
        <x:v>Parameter_Tampering 145/196</x:v>
      </x:c>
      <x:c r="E122" s="7" t="str">
        <x:v>Código fuente Java</x:v>
      </x:c>
      <x:c r="F122" s="7" t="str"/>
      <x:c r="G122" s="7" t="str">
        <x:v>CWE-472</x:v>
      </x:c>
      <x:c r="H122" s="7" t="str"/>
      <x:c r="I122" s="7" t="n">
        <x:v>20</x:v>
      </x:c>
      <x:c r="J122" s="9" t="str">
        <x:v>PENDIENTE</x:v>
      </x:c>
      <x:c r="K122" s="10" t="n">
        <x:v>46767</x:v>
      </x:c>
      <x:c r="L122" s="7" t="str">
        <x:v>Avance 2028-01-15</x:v>
      </x:c>
      <x:c r="M122" s="8" t="str">
        <x:v>Validar aplicabilidad antes de remediar.</x:v>
      </x:c>
      <x:c r="N122" s="17"/>
      <x:c r="O122" s="17"/>
    </x:row>
    <x:row r="123" ht="15" hidden="0" customHeight="1">
      <x:c r="A123" s="7" t="str">
        <x:v>SIAJ-0161</x:v>
      </x:c>
      <x:c r="B123" s="7" t="str">
        <x:v>SAST</x:v>
      </x:c>
      <x:c r="C123" s="7" t="str">
        <x:v>MEDIUM</x:v>
      </x:c>
      <x:c r="D123" s="8" t="str">
        <x:v>Parameter_Tampering 146/196</x:v>
      </x:c>
      <x:c r="E123" s="7" t="str">
        <x:v>Código fuente Java</x:v>
      </x:c>
      <x:c r="F123" s="7" t="str"/>
      <x:c r="G123" s="7" t="str">
        <x:v>CWE-472</x:v>
      </x:c>
      <x:c r="H123" s="7" t="str"/>
      <x:c r="I123" s="7" t="n">
        <x:v>20</x:v>
      </x:c>
      <x:c r="J123" s="9" t="str">
        <x:v>PENDIENTE</x:v>
      </x:c>
      <x:c r="K123" s="10" t="n">
        <x:v>46767</x:v>
      </x:c>
      <x:c r="L123" s="7" t="str">
        <x:v>Avance 2028-01-15</x:v>
      </x:c>
      <x:c r="M123" s="8" t="str">
        <x:v>Validar aplicabilidad antes de remediar.</x:v>
      </x:c>
      <x:c r="N123" s="17"/>
      <x:c r="O123" s="17"/>
    </x:row>
    <x:row r="124" ht="15" hidden="0" customHeight="1">
      <x:c r="A124" s="7" t="str">
        <x:v>SIAJ-0162</x:v>
      </x:c>
      <x:c r="B124" s="7" t="str">
        <x:v>SAST</x:v>
      </x:c>
      <x:c r="C124" s="7" t="str">
        <x:v>MEDIUM</x:v>
      </x:c>
      <x:c r="D124" s="8" t="str">
        <x:v>Parameter_Tampering 147/196</x:v>
      </x:c>
      <x:c r="E124" s="7" t="str">
        <x:v>Código fuente Java</x:v>
      </x:c>
      <x:c r="F124" s="7" t="str"/>
      <x:c r="G124" s="7" t="str">
        <x:v>CWE-472</x:v>
      </x:c>
      <x:c r="H124" s="7" t="str"/>
      <x:c r="I124" s="7" t="n">
        <x:v>20</x:v>
      </x:c>
      <x:c r="J124" s="9" t="str">
        <x:v>PENDIENTE</x:v>
      </x:c>
      <x:c r="K124" s="10" t="n">
        <x:v>46767</x:v>
      </x:c>
      <x:c r="L124" s="7" t="str">
        <x:v>Avance 2028-01-15</x:v>
      </x:c>
      <x:c r="M124" s="8" t="str">
        <x:v>Validar aplicabilidad antes de remediar.</x:v>
      </x:c>
      <x:c r="N124" s="17"/>
      <x:c r="O124" s="17"/>
    </x:row>
    <x:row r="125" ht="15" hidden="0" customHeight="1">
      <x:c r="A125" s="7" t="str">
        <x:v>SIAJ-0163</x:v>
      </x:c>
      <x:c r="B125" s="7" t="str">
        <x:v>SAST</x:v>
      </x:c>
      <x:c r="C125" s="7" t="str">
        <x:v>MEDIUM</x:v>
      </x:c>
      <x:c r="D125" s="8" t="str">
        <x:v>Parameter_Tampering 148/196</x:v>
      </x:c>
      <x:c r="E125" s="7" t="str">
        <x:v>Código fuente Java</x:v>
      </x:c>
      <x:c r="F125" s="7" t="str"/>
      <x:c r="G125" s="7" t="str">
        <x:v>CWE-472</x:v>
      </x:c>
      <x:c r="H125" s="7" t="str"/>
      <x:c r="I125" s="7" t="n">
        <x:v>20</x:v>
      </x:c>
      <x:c r="J125" s="9" t="str">
        <x:v>PENDIENTE</x:v>
      </x:c>
      <x:c r="K125" s="10" t="n">
        <x:v>46767</x:v>
      </x:c>
      <x:c r="L125" s="7" t="str">
        <x:v>Avance 2028-01-15</x:v>
      </x:c>
      <x:c r="M125" s="8" t="str">
        <x:v>Validar aplicabilidad antes de remediar.</x:v>
      </x:c>
      <x:c r="N125" s="17"/>
      <x:c r="O125" s="17"/>
    </x:row>
    <x:row r="126" ht="15" hidden="0" customHeight="1">
      <x:c r="A126" s="7" t="str">
        <x:v>SIAJ-0164</x:v>
      </x:c>
      <x:c r="B126" s="7" t="str">
        <x:v>SAST</x:v>
      </x:c>
      <x:c r="C126" s="7" t="str">
        <x:v>MEDIUM</x:v>
      </x:c>
      <x:c r="D126" s="8" t="str">
        <x:v>Parameter_Tampering 149/196</x:v>
      </x:c>
      <x:c r="E126" s="7" t="str">
        <x:v>Código fuente Java</x:v>
      </x:c>
      <x:c r="F126" s="7" t="str"/>
      <x:c r="G126" s="7" t="str">
        <x:v>CWE-472</x:v>
      </x:c>
      <x:c r="H126" s="7" t="str"/>
      <x:c r="I126" s="7" t="n">
        <x:v>20</x:v>
      </x:c>
      <x:c r="J126" s="9" t="str">
        <x:v>PENDIENTE</x:v>
      </x:c>
      <x:c r="K126" s="10" t="n">
        <x:v>46798</x:v>
      </x:c>
      <x:c r="L126" s="7" t="str">
        <x:v>Avance 2028-02-15</x:v>
      </x:c>
      <x:c r="M126" s="8" t="str">
        <x:v>Validar aplicabilidad antes de remediar.</x:v>
      </x:c>
      <x:c r="N126" s="17"/>
      <x:c r="O126" s="17"/>
    </x:row>
    <x:row r="127" ht="15" hidden="0" customHeight="1">
      <x:c r="A127" s="7" t="str">
        <x:v>SIAJ-0030</x:v>
      </x:c>
      <x:c r="B127" s="7" t="str">
        <x:v>SAST</x:v>
      </x:c>
      <x:c r="C127" s="7" t="str">
        <x:v>MEDIUM</x:v>
      </x:c>
      <x:c r="D127" s="8" t="str">
        <x:v>Parameter_Tampering 15/196</x:v>
      </x:c>
      <x:c r="E127" s="7" t="str">
        <x:v>Código fuente Java</x:v>
      </x:c>
      <x:c r="F127" s="7" t="str"/>
      <x:c r="G127" s="7" t="str">
        <x:v>CWE-472</x:v>
      </x:c>
      <x:c r="H127" s="7" t="str"/>
      <x:c r="I127" s="7" t="n">
        <x:v>20</x:v>
      </x:c>
      <x:c r="J127" s="9" t="str">
        <x:v>PENDIENTE</x:v>
      </x:c>
      <x:c r="K127" s="10" t="n">
        <x:v>46798</x:v>
      </x:c>
      <x:c r="L127" s="7" t="str">
        <x:v>Avance 2028-02-15</x:v>
      </x:c>
      <x:c r="M127" s="8" t="str">
        <x:v>Validar aplicabilidad antes de remediar.</x:v>
      </x:c>
      <x:c r="N127" s="17"/>
      <x:c r="O127" s="17"/>
    </x:row>
    <x:row r="128" ht="15" hidden="0" customHeight="1">
      <x:c r="A128" s="7" t="str">
        <x:v>SIAJ-0165</x:v>
      </x:c>
      <x:c r="B128" s="7" t="str">
        <x:v>SAST</x:v>
      </x:c>
      <x:c r="C128" s="7" t="str">
        <x:v>MEDIUM</x:v>
      </x:c>
      <x:c r="D128" s="8" t="str">
        <x:v>Parameter_Tampering 150/196</x:v>
      </x:c>
      <x:c r="E128" s="7" t="str">
        <x:v>Código fuente Java</x:v>
      </x:c>
      <x:c r="F128" s="7" t="str"/>
      <x:c r="G128" s="7" t="str">
        <x:v>CWE-472</x:v>
      </x:c>
      <x:c r="H128" s="7" t="str"/>
      <x:c r="I128" s="7" t="n">
        <x:v>20</x:v>
      </x:c>
      <x:c r="J128" s="9" t="str">
        <x:v>PENDIENTE</x:v>
      </x:c>
      <x:c r="K128" s="10" t="n">
        <x:v>46798</x:v>
      </x:c>
      <x:c r="L128" s="7" t="str">
        <x:v>Avance 2028-02-15</x:v>
      </x:c>
      <x:c r="M128" s="8" t="str">
        <x:v>Validar aplicabilidad antes de remediar.</x:v>
      </x:c>
      <x:c r="N128" s="17"/>
      <x:c r="O128" s="17"/>
    </x:row>
    <x:row r="129" ht="15" hidden="0" customHeight="1">
      <x:c r="A129" s="7" t="str">
        <x:v>SIAJ-0166</x:v>
      </x:c>
      <x:c r="B129" s="7" t="str">
        <x:v>SAST</x:v>
      </x:c>
      <x:c r="C129" s="7" t="str">
        <x:v>MEDIUM</x:v>
      </x:c>
      <x:c r="D129" s="8" t="str">
        <x:v>Parameter_Tampering 151/196</x:v>
      </x:c>
      <x:c r="E129" s="7" t="str">
        <x:v>Código fuente Java</x:v>
      </x:c>
      <x:c r="F129" s="7" t="str"/>
      <x:c r="G129" s="7" t="str">
        <x:v>CWE-472</x:v>
      </x:c>
      <x:c r="H129" s="7" t="str"/>
      <x:c r="I129" s="7" t="n">
        <x:v>20</x:v>
      </x:c>
      <x:c r="J129" s="9" t="str">
        <x:v>PENDIENTE</x:v>
      </x:c>
      <x:c r="K129" s="10" t="n">
        <x:v>46798</x:v>
      </x:c>
      <x:c r="L129" s="7" t="str">
        <x:v>Avance 2028-02-15</x:v>
      </x:c>
      <x:c r="M129" s="8" t="str">
        <x:v>Validar aplicabilidad antes de remediar.</x:v>
      </x:c>
      <x:c r="N129" s="17"/>
      <x:c r="O129" s="17"/>
    </x:row>
    <x:row r="130" ht="15" hidden="0" customHeight="1">
      <x:c r="A130" s="7" t="str">
        <x:v>SIAJ-0167</x:v>
      </x:c>
      <x:c r="B130" s="7" t="str">
        <x:v>SAST</x:v>
      </x:c>
      <x:c r="C130" s="7" t="str">
        <x:v>MEDIUM</x:v>
      </x:c>
      <x:c r="D130" s="8" t="str">
        <x:v>Parameter_Tampering 152/196</x:v>
      </x:c>
      <x:c r="E130" s="7" t="str">
        <x:v>Código fuente Java</x:v>
      </x:c>
      <x:c r="F130" s="7" t="str"/>
      <x:c r="G130" s="7" t="str">
        <x:v>CWE-472</x:v>
      </x:c>
      <x:c r="H130" s="7" t="str"/>
      <x:c r="I130" s="7" t="n">
        <x:v>20</x:v>
      </x:c>
      <x:c r="J130" s="9" t="str">
        <x:v>PENDIENTE</x:v>
      </x:c>
      <x:c r="K130" s="10" t="n">
        <x:v>46798</x:v>
      </x:c>
      <x:c r="L130" s="7" t="str">
        <x:v>Avance 2028-02-15</x:v>
      </x:c>
      <x:c r="M130" s="8" t="str">
        <x:v>Validar aplicabilidad antes de remediar.</x:v>
      </x:c>
      <x:c r="N130" s="17"/>
      <x:c r="O130" s="17"/>
    </x:row>
    <x:row r="131" ht="15" hidden="0" customHeight="1">
      <x:c r="A131" s="7" t="str">
        <x:v>SIAJ-0168</x:v>
      </x:c>
      <x:c r="B131" s="7" t="str">
        <x:v>SAST</x:v>
      </x:c>
      <x:c r="C131" s="7" t="str">
        <x:v>MEDIUM</x:v>
      </x:c>
      <x:c r="D131" s="8" t="str">
        <x:v>Parameter_Tampering 153/196</x:v>
      </x:c>
      <x:c r="E131" s="7" t="str">
        <x:v>Código fuente Java</x:v>
      </x:c>
      <x:c r="F131" s="7" t="str"/>
      <x:c r="G131" s="7" t="str">
        <x:v>CWE-472</x:v>
      </x:c>
      <x:c r="H131" s="7" t="str"/>
      <x:c r="I131" s="7" t="n">
        <x:v>20</x:v>
      </x:c>
      <x:c r="J131" s="9" t="str">
        <x:v>PENDIENTE</x:v>
      </x:c>
      <x:c r="K131" s="10" t="n">
        <x:v>46798</x:v>
      </x:c>
      <x:c r="L131" s="7" t="str">
        <x:v>Avance 2028-02-15</x:v>
      </x:c>
      <x:c r="M131" s="8" t="str">
        <x:v>Validar aplicabilidad antes de remediar.</x:v>
      </x:c>
      <x:c r="N131" s="17"/>
      <x:c r="O131" s="17"/>
    </x:row>
    <x:row r="132" ht="15" hidden="0" customHeight="1">
      <x:c r="A132" s="7" t="str">
        <x:v>SIAJ-0169</x:v>
      </x:c>
      <x:c r="B132" s="7" t="str">
        <x:v>SAST</x:v>
      </x:c>
      <x:c r="C132" s="7" t="str">
        <x:v>MEDIUM</x:v>
      </x:c>
      <x:c r="D132" s="8" t="str">
        <x:v>Parameter_Tampering 154/196</x:v>
      </x:c>
      <x:c r="E132" s="7" t="str">
        <x:v>Código fuente Java</x:v>
      </x:c>
      <x:c r="F132" s="7" t="str"/>
      <x:c r="G132" s="7" t="str">
        <x:v>CWE-472</x:v>
      </x:c>
      <x:c r="H132" s="7" t="str"/>
      <x:c r="I132" s="7" t="n">
        <x:v>20</x:v>
      </x:c>
      <x:c r="J132" s="9" t="str">
        <x:v>PENDIENTE</x:v>
      </x:c>
      <x:c r="K132" s="10" t="n">
        <x:v>46798</x:v>
      </x:c>
      <x:c r="L132" s="7" t="str">
        <x:v>Avance 2028-02-15</x:v>
      </x:c>
      <x:c r="M132" s="8" t="str">
        <x:v>Validar aplicabilidad antes de remediar.</x:v>
      </x:c>
      <x:c r="N132" s="17"/>
      <x:c r="O132" s="17"/>
    </x:row>
    <x:row r="133" ht="15" hidden="0" customHeight="1">
      <x:c r="A133" s="7" t="str">
        <x:v>SIAJ-0170</x:v>
      </x:c>
      <x:c r="B133" s="7" t="str">
        <x:v>SAST</x:v>
      </x:c>
      <x:c r="C133" s="7" t="str">
        <x:v>MEDIUM</x:v>
      </x:c>
      <x:c r="D133" s="8" t="str">
        <x:v>Parameter_Tampering 155/196</x:v>
      </x:c>
      <x:c r="E133" s="7" t="str">
        <x:v>Código fuente Java</x:v>
      </x:c>
      <x:c r="F133" s="7" t="str"/>
      <x:c r="G133" s="7" t="str">
        <x:v>CWE-472</x:v>
      </x:c>
      <x:c r="H133" s="7" t="str"/>
      <x:c r="I133" s="7" t="n">
        <x:v>20</x:v>
      </x:c>
      <x:c r="J133" s="9" t="str">
        <x:v>PENDIENTE</x:v>
      </x:c>
      <x:c r="K133" s="10" t="n">
        <x:v>46798</x:v>
      </x:c>
      <x:c r="L133" s="7" t="str">
        <x:v>Avance 2028-02-15</x:v>
      </x:c>
      <x:c r="M133" s="8" t="str">
        <x:v>Validar aplicabilidad antes de remediar.</x:v>
      </x:c>
      <x:c r="N133" s="17"/>
      <x:c r="O133" s="17"/>
    </x:row>
    <x:row r="134" ht="15" hidden="0" customHeight="1">
      <x:c r="A134" s="7" t="str">
        <x:v>SIAJ-0171</x:v>
      </x:c>
      <x:c r="B134" s="7" t="str">
        <x:v>SAST</x:v>
      </x:c>
      <x:c r="C134" s="7" t="str">
        <x:v>MEDIUM</x:v>
      </x:c>
      <x:c r="D134" s="8" t="str">
        <x:v>Parameter_Tampering 156/196</x:v>
      </x:c>
      <x:c r="E134" s="7" t="str">
        <x:v>Código fuente Java</x:v>
      </x:c>
      <x:c r="F134" s="7" t="str"/>
      <x:c r="G134" s="7" t="str">
        <x:v>CWE-472</x:v>
      </x:c>
      <x:c r="H134" s="7" t="str"/>
      <x:c r="I134" s="7" t="n">
        <x:v>20</x:v>
      </x:c>
      <x:c r="J134" s="9" t="str">
        <x:v>PENDIENTE</x:v>
      </x:c>
      <x:c r="K134" s="10" t="n">
        <x:v>46798</x:v>
      </x:c>
      <x:c r="L134" s="7" t="str">
        <x:v>Avance 2028-02-15</x:v>
      </x:c>
      <x:c r="M134" s="8" t="str">
        <x:v>Validar aplicabilidad antes de remediar.</x:v>
      </x:c>
      <x:c r="N134" s="17"/>
      <x:c r="O134" s="17"/>
    </x:row>
    <x:row r="135" ht="15" hidden="0" customHeight="1">
      <x:c r="A135" s="7" t="str">
        <x:v>SIAJ-0172</x:v>
      </x:c>
      <x:c r="B135" s="7" t="str">
        <x:v>SAST</x:v>
      </x:c>
      <x:c r="C135" s="7" t="str">
        <x:v>MEDIUM</x:v>
      </x:c>
      <x:c r="D135" s="8" t="str">
        <x:v>Parameter_Tampering 157/196</x:v>
      </x:c>
      <x:c r="E135" s="7" t="str">
        <x:v>Código fuente Java</x:v>
      </x:c>
      <x:c r="F135" s="7" t="str"/>
      <x:c r="G135" s="7" t="str">
        <x:v>CWE-472</x:v>
      </x:c>
      <x:c r="H135" s="7" t="str"/>
      <x:c r="I135" s="7" t="n">
        <x:v>20</x:v>
      </x:c>
      <x:c r="J135" s="9" t="str">
        <x:v>PENDIENTE</x:v>
      </x:c>
      <x:c r="K135" s="10" t="n">
        <x:v>46798</x:v>
      </x:c>
      <x:c r="L135" s="7" t="str">
        <x:v>Avance 2028-02-15</x:v>
      </x:c>
      <x:c r="M135" s="8" t="str">
        <x:v>Validar aplicabilidad antes de remediar.</x:v>
      </x:c>
      <x:c r="N135" s="17"/>
      <x:c r="O135" s="17"/>
    </x:row>
    <x:row r="136" ht="15" hidden="0" customHeight="1">
      <x:c r="A136" s="7" t="str">
        <x:v>SIAJ-0173</x:v>
      </x:c>
      <x:c r="B136" s="7" t="str">
        <x:v>SAST</x:v>
      </x:c>
      <x:c r="C136" s="7" t="str">
        <x:v>MEDIUM</x:v>
      </x:c>
      <x:c r="D136" s="8" t="str">
        <x:v>Parameter_Tampering 158/196</x:v>
      </x:c>
      <x:c r="E136" s="7" t="str">
        <x:v>Código fuente Java</x:v>
      </x:c>
      <x:c r="F136" s="7" t="str"/>
      <x:c r="G136" s="7" t="str">
        <x:v>CWE-472</x:v>
      </x:c>
      <x:c r="H136" s="7" t="str"/>
      <x:c r="I136" s="7" t="n">
        <x:v>20</x:v>
      </x:c>
      <x:c r="J136" s="9" t="str">
        <x:v>PENDIENTE</x:v>
      </x:c>
      <x:c r="K136" s="10" t="n">
        <x:v>46798</x:v>
      </x:c>
      <x:c r="L136" s="7" t="str">
        <x:v>Avance 2028-02-15</x:v>
      </x:c>
      <x:c r="M136" s="8" t="str">
        <x:v>Validar aplicabilidad antes de remediar.</x:v>
      </x:c>
      <x:c r="N136" s="17"/>
      <x:c r="O136" s="17"/>
    </x:row>
    <x:row r="137" ht="15" hidden="0" customHeight="1">
      <x:c r="A137" s="7" t="str">
        <x:v>SIAJ-0174</x:v>
      </x:c>
      <x:c r="B137" s="7" t="str">
        <x:v>SAST</x:v>
      </x:c>
      <x:c r="C137" s="7" t="str">
        <x:v>MEDIUM</x:v>
      </x:c>
      <x:c r="D137" s="8" t="str">
        <x:v>Parameter_Tampering 159/196</x:v>
      </x:c>
      <x:c r="E137" s="7" t="str">
        <x:v>Código fuente Java</x:v>
      </x:c>
      <x:c r="F137" s="7" t="str"/>
      <x:c r="G137" s="7" t="str">
        <x:v>CWE-472</x:v>
      </x:c>
      <x:c r="H137" s="7" t="str"/>
      <x:c r="I137" s="7" t="n">
        <x:v>20</x:v>
      </x:c>
      <x:c r="J137" s="9" t="str">
        <x:v>PENDIENTE</x:v>
      </x:c>
      <x:c r="K137" s="10" t="n">
        <x:v>46798</x:v>
      </x:c>
      <x:c r="L137" s="7" t="str">
        <x:v>Avance 2028-02-15</x:v>
      </x:c>
      <x:c r="M137" s="8" t="str">
        <x:v>Validar aplicabilidad antes de remediar.</x:v>
      </x:c>
      <x:c r="N137" s="17"/>
      <x:c r="O137" s="17"/>
    </x:row>
    <x:row r="138" ht="15" hidden="0" customHeight="1">
      <x:c r="A138" s="7" t="str">
        <x:v>SIAJ-0031</x:v>
      </x:c>
      <x:c r="B138" s="7" t="str">
        <x:v>SAST</x:v>
      </x:c>
      <x:c r="C138" s="7" t="str">
        <x:v>MEDIUM</x:v>
      </x:c>
      <x:c r="D138" s="8" t="str">
        <x:v>Parameter_Tampering 16/196</x:v>
      </x:c>
      <x:c r="E138" s="7" t="str">
        <x:v>Código fuente Java</x:v>
      </x:c>
      <x:c r="F138" s="7" t="str"/>
      <x:c r="G138" s="7" t="str">
        <x:v>CWE-472</x:v>
      </x:c>
      <x:c r="H138" s="7" t="str"/>
      <x:c r="I138" s="7" t="n">
        <x:v>20</x:v>
      </x:c>
      <x:c r="J138" s="9" t="str">
        <x:v>PENDIENTE</x:v>
      </x:c>
      <x:c r="K138" s="10" t="n">
        <x:v>46798</x:v>
      </x:c>
      <x:c r="L138" s="7" t="str">
        <x:v>Avance 2028-02-15</x:v>
      </x:c>
      <x:c r="M138" s="8" t="str">
        <x:v>Validar aplicabilidad antes de remediar.</x:v>
      </x:c>
      <x:c r="N138" s="17"/>
      <x:c r="O138" s="17"/>
    </x:row>
    <x:row r="139" ht="15" hidden="0" customHeight="1">
      <x:c r="A139" s="7" t="str">
        <x:v>SIAJ-0175</x:v>
      </x:c>
      <x:c r="B139" s="7" t="str">
        <x:v>SAST</x:v>
      </x:c>
      <x:c r="C139" s="7" t="str">
        <x:v>MEDIUM</x:v>
      </x:c>
      <x:c r="D139" s="8" t="str">
        <x:v>Parameter_Tampering 160/196</x:v>
      </x:c>
      <x:c r="E139" s="7" t="str">
        <x:v>Código fuente Java</x:v>
      </x:c>
      <x:c r="F139" s="7" t="str"/>
      <x:c r="G139" s="7" t="str">
        <x:v>CWE-472</x:v>
      </x:c>
      <x:c r="H139" s="7" t="str"/>
      <x:c r="I139" s="7" t="n">
        <x:v>20</x:v>
      </x:c>
      <x:c r="J139" s="9" t="str">
        <x:v>PENDIENTE</x:v>
      </x:c>
      <x:c r="K139" s="10" t="n">
        <x:v>46798</x:v>
      </x:c>
      <x:c r="L139" s="7" t="str">
        <x:v>Avance 2028-02-15</x:v>
      </x:c>
      <x:c r="M139" s="8" t="str">
        <x:v>Validar aplicabilidad antes de remediar.</x:v>
      </x:c>
      <x:c r="N139" s="17"/>
      <x:c r="O139" s="17"/>
    </x:row>
    <x:row r="140" ht="15" hidden="0" customHeight="1">
      <x:c r="A140" s="7" t="str">
        <x:v>SIAJ-0176</x:v>
      </x:c>
      <x:c r="B140" s="7" t="str">
        <x:v>SAST</x:v>
      </x:c>
      <x:c r="C140" s="7" t="str">
        <x:v>MEDIUM</x:v>
      </x:c>
      <x:c r="D140" s="8" t="str">
        <x:v>Parameter_Tampering 161/196</x:v>
      </x:c>
      <x:c r="E140" s="7" t="str">
        <x:v>Código fuente Java</x:v>
      </x:c>
      <x:c r="F140" s="7" t="str"/>
      <x:c r="G140" s="7" t="str">
        <x:v>CWE-472</x:v>
      </x:c>
      <x:c r="H140" s="7" t="str"/>
      <x:c r="I140" s="7" t="n">
        <x:v>20</x:v>
      </x:c>
      <x:c r="J140" s="9" t="str">
        <x:v>PENDIENTE</x:v>
      </x:c>
      <x:c r="K140" s="10" t="n">
        <x:v>46798</x:v>
      </x:c>
      <x:c r="L140" s="7" t="str">
        <x:v>Avance 2028-02-15</x:v>
      </x:c>
      <x:c r="M140" s="8" t="str">
        <x:v>Validar aplicabilidad antes de remediar.</x:v>
      </x:c>
      <x:c r="N140" s="17"/>
      <x:c r="O140" s="17"/>
    </x:row>
    <x:row r="141" ht="15" hidden="0" customHeight="1">
      <x:c r="A141" s="7" t="str">
        <x:v>SIAJ-0177</x:v>
      </x:c>
      <x:c r="B141" s="7" t="str">
        <x:v>SAST</x:v>
      </x:c>
      <x:c r="C141" s="7" t="str">
        <x:v>MEDIUM</x:v>
      </x:c>
      <x:c r="D141" s="8" t="str">
        <x:v>Parameter_Tampering 162/196</x:v>
      </x:c>
      <x:c r="E141" s="7" t="str">
        <x:v>Código fuente Java</x:v>
      </x:c>
      <x:c r="F141" s="7" t="str"/>
      <x:c r="G141" s="7" t="str">
        <x:v>CWE-472</x:v>
      </x:c>
      <x:c r="H141" s="7" t="str"/>
      <x:c r="I141" s="7" t="n">
        <x:v>20</x:v>
      </x:c>
      <x:c r="J141" s="9" t="str">
        <x:v>PENDIENTE</x:v>
      </x:c>
      <x:c r="K141" s="10" t="n">
        <x:v>46798</x:v>
      </x:c>
      <x:c r="L141" s="7" t="str">
        <x:v>Avance 2028-02-15</x:v>
      </x:c>
      <x:c r="M141" s="8" t="str">
        <x:v>Validar aplicabilidad antes de remediar.</x:v>
      </x:c>
      <x:c r="N141" s="17"/>
      <x:c r="O141" s="17"/>
    </x:row>
    <x:row r="142" ht="15" hidden="0" customHeight="1">
      <x:c r="A142" s="7" t="str">
        <x:v>SIAJ-0178</x:v>
      </x:c>
      <x:c r="B142" s="7" t="str">
        <x:v>SAST</x:v>
      </x:c>
      <x:c r="C142" s="7" t="str">
        <x:v>MEDIUM</x:v>
      </x:c>
      <x:c r="D142" s="8" t="str">
        <x:v>Parameter_Tampering 163/196</x:v>
      </x:c>
      <x:c r="E142" s="7" t="str">
        <x:v>Código fuente Java</x:v>
      </x:c>
      <x:c r="F142" s="7" t="str"/>
      <x:c r="G142" s="7" t="str">
        <x:v>CWE-472</x:v>
      </x:c>
      <x:c r="H142" s="7" t="str"/>
      <x:c r="I142" s="7" t="n">
        <x:v>20</x:v>
      </x:c>
      <x:c r="J142" s="9" t="str">
        <x:v>PENDIENTE</x:v>
      </x:c>
      <x:c r="K142" s="10" t="n">
        <x:v>46798</x:v>
      </x:c>
      <x:c r="L142" s="7" t="str">
        <x:v>Avance 2028-02-15</x:v>
      </x:c>
      <x:c r="M142" s="8" t="str">
        <x:v>Validar aplicabilidad antes de remediar.</x:v>
      </x:c>
      <x:c r="N142" s="17"/>
      <x:c r="O142" s="17"/>
    </x:row>
    <x:row r="143" ht="15" hidden="0" customHeight="1">
      <x:c r="A143" s="7" t="str">
        <x:v>SIAJ-0179</x:v>
      </x:c>
      <x:c r="B143" s="7" t="str">
        <x:v>SAST</x:v>
      </x:c>
      <x:c r="C143" s="7" t="str">
        <x:v>MEDIUM</x:v>
      </x:c>
      <x:c r="D143" s="8" t="str">
        <x:v>Parameter_Tampering 164/196</x:v>
      </x:c>
      <x:c r="E143" s="7" t="str">
        <x:v>Código fuente Java</x:v>
      </x:c>
      <x:c r="F143" s="7" t="str"/>
      <x:c r="G143" s="7" t="str">
        <x:v>CWE-472</x:v>
      </x:c>
      <x:c r="H143" s="7" t="str"/>
      <x:c r="I143" s="7" t="n">
        <x:v>20</x:v>
      </x:c>
      <x:c r="J143" s="9" t="str">
        <x:v>PENDIENTE</x:v>
      </x:c>
      <x:c r="K143" s="10" t="n">
        <x:v>46798</x:v>
      </x:c>
      <x:c r="L143" s="7" t="str">
        <x:v>Avance 2028-02-15</x:v>
      </x:c>
      <x:c r="M143" s="8" t="str">
        <x:v>Validar aplicabilidad antes de remediar.</x:v>
      </x:c>
      <x:c r="N143" s="17"/>
      <x:c r="O143" s="17"/>
    </x:row>
    <x:row r="144" ht="15" hidden="0" customHeight="1">
      <x:c r="A144" s="7" t="str">
        <x:v>SIAJ-0180</x:v>
      </x:c>
      <x:c r="B144" s="7" t="str">
        <x:v>SAST</x:v>
      </x:c>
      <x:c r="C144" s="7" t="str">
        <x:v>MEDIUM</x:v>
      </x:c>
      <x:c r="D144" s="8" t="str">
        <x:v>Parameter_Tampering 165/196</x:v>
      </x:c>
      <x:c r="E144" s="7" t="str">
        <x:v>Código fuente Java</x:v>
      </x:c>
      <x:c r="F144" s="7" t="str"/>
      <x:c r="G144" s="7" t="str">
        <x:v>CWE-472</x:v>
      </x:c>
      <x:c r="H144" s="7" t="str"/>
      <x:c r="I144" s="7" t="n">
        <x:v>20</x:v>
      </x:c>
      <x:c r="J144" s="9" t="str">
        <x:v>PENDIENTE</x:v>
      </x:c>
      <x:c r="K144" s="10" t="n">
        <x:v>46827</x:v>
      </x:c>
      <x:c r="L144" s="7" t="str">
        <x:v>Avance 2028-03-15</x:v>
      </x:c>
      <x:c r="M144" s="8" t="str">
        <x:v>Validar aplicabilidad antes de remediar.</x:v>
      </x:c>
      <x:c r="N144" s="17"/>
      <x:c r="O144" s="17"/>
    </x:row>
    <x:row r="145" ht="15" hidden="0" customHeight="1">
      <x:c r="A145" s="7" t="str">
        <x:v>SIAJ-0181</x:v>
      </x:c>
      <x:c r="B145" s="7" t="str">
        <x:v>SAST</x:v>
      </x:c>
      <x:c r="C145" s="7" t="str">
        <x:v>MEDIUM</x:v>
      </x:c>
      <x:c r="D145" s="8" t="str">
        <x:v>Parameter_Tampering 166/196</x:v>
      </x:c>
      <x:c r="E145" s="7" t="str">
        <x:v>Código fuente Java</x:v>
      </x:c>
      <x:c r="F145" s="7" t="str"/>
      <x:c r="G145" s="7" t="str">
        <x:v>CWE-472</x:v>
      </x:c>
      <x:c r="H145" s="7" t="str"/>
      <x:c r="I145" s="7" t="n">
        <x:v>20</x:v>
      </x:c>
      <x:c r="J145" s="9" t="str">
        <x:v>PENDIENTE</x:v>
      </x:c>
      <x:c r="K145" s="10" t="n">
        <x:v>46827</x:v>
      </x:c>
      <x:c r="L145" s="7" t="str">
        <x:v>Avance 2028-03-15</x:v>
      </x:c>
      <x:c r="M145" s="8" t="str">
        <x:v>Validar aplicabilidad antes de remediar.</x:v>
      </x:c>
      <x:c r="N145" s="17"/>
      <x:c r="O145" s="17"/>
    </x:row>
    <x:row r="146" ht="15" hidden="0" customHeight="1">
      <x:c r="A146" s="7" t="str">
        <x:v>SIAJ-0182</x:v>
      </x:c>
      <x:c r="B146" s="7" t="str">
        <x:v>SAST</x:v>
      </x:c>
      <x:c r="C146" s="7" t="str">
        <x:v>MEDIUM</x:v>
      </x:c>
      <x:c r="D146" s="8" t="str">
        <x:v>Parameter_Tampering 167/196</x:v>
      </x:c>
      <x:c r="E146" s="7" t="str">
        <x:v>Código fuente Java</x:v>
      </x:c>
      <x:c r="F146" s="7" t="str"/>
      <x:c r="G146" s="7" t="str">
        <x:v>CWE-472</x:v>
      </x:c>
      <x:c r="H146" s="7" t="str"/>
      <x:c r="I146" s="7" t="n">
        <x:v>20</x:v>
      </x:c>
      <x:c r="J146" s="9" t="str">
        <x:v>PENDIENTE</x:v>
      </x:c>
      <x:c r="K146" s="10" t="n">
        <x:v>46827</x:v>
      </x:c>
      <x:c r="L146" s="7" t="str">
        <x:v>Avance 2028-03-15</x:v>
      </x:c>
      <x:c r="M146" s="8" t="str">
        <x:v>Validar aplicabilidad antes de remediar.</x:v>
      </x:c>
      <x:c r="N146" s="17"/>
      <x:c r="O146" s="17"/>
    </x:row>
    <x:row r="147" ht="15" hidden="0" customHeight="1">
      <x:c r="A147" s="7" t="str">
        <x:v>SIAJ-0183</x:v>
      </x:c>
      <x:c r="B147" s="7" t="str">
        <x:v>SAST</x:v>
      </x:c>
      <x:c r="C147" s="7" t="str">
        <x:v>MEDIUM</x:v>
      </x:c>
      <x:c r="D147" s="8" t="str">
        <x:v>Parameter_Tampering 168/196</x:v>
      </x:c>
      <x:c r="E147" s="7" t="str">
        <x:v>Código fuente Java</x:v>
      </x:c>
      <x:c r="F147" s="7" t="str"/>
      <x:c r="G147" s="7" t="str">
        <x:v>CWE-472</x:v>
      </x:c>
      <x:c r="H147" s="7" t="str"/>
      <x:c r="I147" s="7" t="n">
        <x:v>20</x:v>
      </x:c>
      <x:c r="J147" s="9" t="str">
        <x:v>PENDIENTE</x:v>
      </x:c>
      <x:c r="K147" s="10" t="n">
        <x:v>46827</x:v>
      </x:c>
      <x:c r="L147" s="7" t="str">
        <x:v>Avance 2028-03-15</x:v>
      </x:c>
      <x:c r="M147" s="8" t="str">
        <x:v>Validar aplicabilidad antes de remediar.</x:v>
      </x:c>
      <x:c r="N147" s="17"/>
      <x:c r="O147" s="17"/>
    </x:row>
    <x:row r="148" ht="15" hidden="0" customHeight="1">
      <x:c r="A148" s="7" t="str">
        <x:v>SIAJ-0184</x:v>
      </x:c>
      <x:c r="B148" s="7" t="str">
        <x:v>SAST</x:v>
      </x:c>
      <x:c r="C148" s="7" t="str">
        <x:v>MEDIUM</x:v>
      </x:c>
      <x:c r="D148" s="8" t="str">
        <x:v>Parameter_Tampering 169/196</x:v>
      </x:c>
      <x:c r="E148" s="7" t="str">
        <x:v>Código fuente Java</x:v>
      </x:c>
      <x:c r="F148" s="7" t="str"/>
      <x:c r="G148" s="7" t="str">
        <x:v>CWE-472</x:v>
      </x:c>
      <x:c r="H148" s="7" t="str"/>
      <x:c r="I148" s="7" t="n">
        <x:v>20</x:v>
      </x:c>
      <x:c r="J148" s="9" t="str">
        <x:v>PENDIENTE</x:v>
      </x:c>
      <x:c r="K148" s="10" t="n">
        <x:v>46827</x:v>
      </x:c>
      <x:c r="L148" s="7" t="str">
        <x:v>Avance 2028-03-15</x:v>
      </x:c>
      <x:c r="M148" s="8" t="str">
        <x:v>Validar aplicabilidad antes de remediar.</x:v>
      </x:c>
      <x:c r="N148" s="17"/>
      <x:c r="O148" s="17"/>
    </x:row>
    <x:row r="149" ht="15" hidden="0" customHeight="1">
      <x:c r="A149" s="7" t="str">
        <x:v>SIAJ-0032</x:v>
      </x:c>
      <x:c r="B149" s="7" t="str">
        <x:v>SAST</x:v>
      </x:c>
      <x:c r="C149" s="7" t="str">
        <x:v>MEDIUM</x:v>
      </x:c>
      <x:c r="D149" s="8" t="str">
        <x:v>Parameter_Tampering 17/196</x:v>
      </x:c>
      <x:c r="E149" s="7" t="str">
        <x:v>Código fuente Java</x:v>
      </x:c>
      <x:c r="F149" s="7" t="str"/>
      <x:c r="G149" s="7" t="str">
        <x:v>CWE-472</x:v>
      </x:c>
      <x:c r="H149" s="7" t="str"/>
      <x:c r="I149" s="7" t="n">
        <x:v>20</x:v>
      </x:c>
      <x:c r="J149" s="9" t="str">
        <x:v>PENDIENTE</x:v>
      </x:c>
      <x:c r="K149" s="10" t="n">
        <x:v>46827</x:v>
      </x:c>
      <x:c r="L149" s="7" t="str">
        <x:v>Avance 2028-03-15</x:v>
      </x:c>
      <x:c r="M149" s="8" t="str">
        <x:v>Validar aplicabilidad antes de remediar.</x:v>
      </x:c>
      <x:c r="N149" s="17"/>
      <x:c r="O149" s="17"/>
    </x:row>
    <x:row r="150" ht="15" hidden="0" customHeight="1">
      <x:c r="A150" s="7" t="str">
        <x:v>SIAJ-0185</x:v>
      </x:c>
      <x:c r="B150" s="7" t="str">
        <x:v>SAST</x:v>
      </x:c>
      <x:c r="C150" s="7" t="str">
        <x:v>MEDIUM</x:v>
      </x:c>
      <x:c r="D150" s="8" t="str">
        <x:v>Parameter_Tampering 170/196</x:v>
      </x:c>
      <x:c r="E150" s="7" t="str">
        <x:v>Código fuente Java</x:v>
      </x:c>
      <x:c r="F150" s="7" t="str"/>
      <x:c r="G150" s="7" t="str">
        <x:v>CWE-472</x:v>
      </x:c>
      <x:c r="H150" s="7" t="str"/>
      <x:c r="I150" s="7" t="n">
        <x:v>20</x:v>
      </x:c>
      <x:c r="J150" s="9" t="str">
        <x:v>PENDIENTE</x:v>
      </x:c>
      <x:c r="K150" s="10" t="n">
        <x:v>46827</x:v>
      </x:c>
      <x:c r="L150" s="7" t="str">
        <x:v>Avance 2028-03-15</x:v>
      </x:c>
      <x:c r="M150" s="8" t="str">
        <x:v>Validar aplicabilidad antes de remediar.</x:v>
      </x:c>
      <x:c r="N150" s="17"/>
      <x:c r="O150" s="17"/>
    </x:row>
    <x:row r="151" ht="15" hidden="0" customHeight="1">
      <x:c r="A151" s="7" t="str">
        <x:v>SIAJ-0186</x:v>
      </x:c>
      <x:c r="B151" s="7" t="str">
        <x:v>SAST</x:v>
      </x:c>
      <x:c r="C151" s="7" t="str">
        <x:v>MEDIUM</x:v>
      </x:c>
      <x:c r="D151" s="8" t="str">
        <x:v>Parameter_Tampering 171/196</x:v>
      </x:c>
      <x:c r="E151" s="7" t="str">
        <x:v>Código fuente Java</x:v>
      </x:c>
      <x:c r="F151" s="7" t="str"/>
      <x:c r="G151" s="7" t="str">
        <x:v>CWE-472</x:v>
      </x:c>
      <x:c r="H151" s="7" t="str"/>
      <x:c r="I151" s="7" t="n">
        <x:v>20</x:v>
      </x:c>
      <x:c r="J151" s="9" t="str">
        <x:v>PENDIENTE</x:v>
      </x:c>
      <x:c r="K151" s="10" t="n">
        <x:v>46827</x:v>
      </x:c>
      <x:c r="L151" s="7" t="str">
        <x:v>Avance 2028-03-15</x:v>
      </x:c>
      <x:c r="M151" s="8" t="str">
        <x:v>Validar aplicabilidad antes de remediar.</x:v>
      </x:c>
      <x:c r="N151" s="17"/>
      <x:c r="O151" s="17"/>
    </x:row>
    <x:row r="152" ht="15" hidden="0" customHeight="1">
      <x:c r="A152" s="7" t="str">
        <x:v>SIAJ-0187</x:v>
      </x:c>
      <x:c r="B152" s="7" t="str">
        <x:v>SAST</x:v>
      </x:c>
      <x:c r="C152" s="7" t="str">
        <x:v>MEDIUM</x:v>
      </x:c>
      <x:c r="D152" s="8" t="str">
        <x:v>Parameter_Tampering 172/196</x:v>
      </x:c>
      <x:c r="E152" s="7" t="str">
        <x:v>Código fuente Java</x:v>
      </x:c>
      <x:c r="F152" s="7" t="str"/>
      <x:c r="G152" s="7" t="str">
        <x:v>CWE-472</x:v>
      </x:c>
      <x:c r="H152" s="7" t="str"/>
      <x:c r="I152" s="7" t="n">
        <x:v>20</x:v>
      </x:c>
      <x:c r="J152" s="9" t="str">
        <x:v>PENDIENTE</x:v>
      </x:c>
      <x:c r="K152" s="10" t="n">
        <x:v>46827</x:v>
      </x:c>
      <x:c r="L152" s="7" t="str">
        <x:v>Avance 2028-03-15</x:v>
      </x:c>
      <x:c r="M152" s="8" t="str">
        <x:v>Validar aplicabilidad antes de remediar.</x:v>
      </x:c>
      <x:c r="N152" s="17"/>
      <x:c r="O152" s="17"/>
    </x:row>
    <x:row r="153" ht="15" hidden="0" customHeight="1">
      <x:c r="A153" s="7" t="str">
        <x:v>SIAJ-0188</x:v>
      </x:c>
      <x:c r="B153" s="7" t="str">
        <x:v>SAST</x:v>
      </x:c>
      <x:c r="C153" s="7" t="str">
        <x:v>MEDIUM</x:v>
      </x:c>
      <x:c r="D153" s="8" t="str">
        <x:v>Parameter_Tampering 173/196</x:v>
      </x:c>
      <x:c r="E153" s="7" t="str">
        <x:v>Código fuente Java</x:v>
      </x:c>
      <x:c r="F153" s="7" t="str"/>
      <x:c r="G153" s="7" t="str">
        <x:v>CWE-472</x:v>
      </x:c>
      <x:c r="H153" s="7" t="str"/>
      <x:c r="I153" s="7" t="n">
        <x:v>20</x:v>
      </x:c>
      <x:c r="J153" s="9" t="str">
        <x:v>PENDIENTE</x:v>
      </x:c>
      <x:c r="K153" s="10" t="n">
        <x:v>46827</x:v>
      </x:c>
      <x:c r="L153" s="7" t="str">
        <x:v>Avance 2028-03-15</x:v>
      </x:c>
      <x:c r="M153" s="8" t="str">
        <x:v>Validar aplicabilidad antes de remediar.</x:v>
      </x:c>
      <x:c r="N153" s="17"/>
      <x:c r="O153" s="17"/>
    </x:row>
    <x:row r="154" ht="15" hidden="0" customHeight="1">
      <x:c r="A154" s="7" t="str">
        <x:v>SIAJ-0189</x:v>
      </x:c>
      <x:c r="B154" s="7" t="str">
        <x:v>SAST</x:v>
      </x:c>
      <x:c r="C154" s="7" t="str">
        <x:v>MEDIUM</x:v>
      </x:c>
      <x:c r="D154" s="8" t="str">
        <x:v>Parameter_Tampering 174/196</x:v>
      </x:c>
      <x:c r="E154" s="7" t="str">
        <x:v>Código fuente Java</x:v>
      </x:c>
      <x:c r="F154" s="7" t="str"/>
      <x:c r="G154" s="7" t="str">
        <x:v>CWE-472</x:v>
      </x:c>
      <x:c r="H154" s="7" t="str"/>
      <x:c r="I154" s="7" t="n">
        <x:v>20</x:v>
      </x:c>
      <x:c r="J154" s="9" t="str">
        <x:v>PENDIENTE</x:v>
      </x:c>
      <x:c r="K154" s="10" t="n">
        <x:v>46827</x:v>
      </x:c>
      <x:c r="L154" s="7" t="str">
        <x:v>Avance 2028-03-15</x:v>
      </x:c>
      <x:c r="M154" s="8" t="str">
        <x:v>Validar aplicabilidad antes de remediar.</x:v>
      </x:c>
      <x:c r="N154" s="17"/>
      <x:c r="O154" s="17"/>
    </x:row>
    <x:row r="155" ht="15" hidden="0" customHeight="1">
      <x:c r="A155" s="7" t="str">
        <x:v>SIAJ-0190</x:v>
      </x:c>
      <x:c r="B155" s="7" t="str">
        <x:v>SAST</x:v>
      </x:c>
      <x:c r="C155" s="7" t="str">
        <x:v>MEDIUM</x:v>
      </x:c>
      <x:c r="D155" s="8" t="str">
        <x:v>Parameter_Tampering 175/196</x:v>
      </x:c>
      <x:c r="E155" s="7" t="str">
        <x:v>Código fuente Java</x:v>
      </x:c>
      <x:c r="F155" s="7" t="str"/>
      <x:c r="G155" s="7" t="str">
        <x:v>CWE-472</x:v>
      </x:c>
      <x:c r="H155" s="7" t="str"/>
      <x:c r="I155" s="7" t="n">
        <x:v>20</x:v>
      </x:c>
      <x:c r="J155" s="9" t="str">
        <x:v>PENDIENTE</x:v>
      </x:c>
      <x:c r="K155" s="10" t="n">
        <x:v>46827</x:v>
      </x:c>
      <x:c r="L155" s="7" t="str">
        <x:v>Avance 2028-03-15</x:v>
      </x:c>
      <x:c r="M155" s="8" t="str">
        <x:v>Validar aplicabilidad antes de remediar.</x:v>
      </x:c>
      <x:c r="N155" s="17"/>
      <x:c r="O155" s="17"/>
    </x:row>
    <x:row r="156" ht="15" hidden="0" customHeight="1">
      <x:c r="A156" s="7" t="str">
        <x:v>SIAJ-0191</x:v>
      </x:c>
      <x:c r="B156" s="7" t="str">
        <x:v>SAST</x:v>
      </x:c>
      <x:c r="C156" s="7" t="str">
        <x:v>MEDIUM</x:v>
      </x:c>
      <x:c r="D156" s="8" t="str">
        <x:v>Parameter_Tampering 176/196</x:v>
      </x:c>
      <x:c r="E156" s="7" t="str">
        <x:v>Código fuente Java</x:v>
      </x:c>
      <x:c r="F156" s="7" t="str"/>
      <x:c r="G156" s="7" t="str">
        <x:v>CWE-472</x:v>
      </x:c>
      <x:c r="H156" s="7" t="str"/>
      <x:c r="I156" s="7" t="n">
        <x:v>20</x:v>
      </x:c>
      <x:c r="J156" s="9" t="str">
        <x:v>PENDIENTE</x:v>
      </x:c>
      <x:c r="K156" s="10" t="n">
        <x:v>46827</x:v>
      </x:c>
      <x:c r="L156" s="7" t="str">
        <x:v>Avance 2028-03-15</x:v>
      </x:c>
      <x:c r="M156" s="8" t="str">
        <x:v>Validar aplicabilidad antes de remediar.</x:v>
      </x:c>
      <x:c r="N156" s="17"/>
      <x:c r="O156" s="17"/>
    </x:row>
    <x:row r="157" ht="15" hidden="0" customHeight="1">
      <x:c r="A157" s="7" t="str">
        <x:v>SIAJ-0192</x:v>
      </x:c>
      <x:c r="B157" s="7" t="str">
        <x:v>SAST</x:v>
      </x:c>
      <x:c r="C157" s="7" t="str">
        <x:v>MEDIUM</x:v>
      </x:c>
      <x:c r="D157" s="8" t="str">
        <x:v>Parameter_Tampering 177/196</x:v>
      </x:c>
      <x:c r="E157" s="7" t="str">
        <x:v>Código fuente Java</x:v>
      </x:c>
      <x:c r="F157" s="7" t="str"/>
      <x:c r="G157" s="7" t="str">
        <x:v>CWE-472</x:v>
      </x:c>
      <x:c r="H157" s="7" t="str"/>
      <x:c r="I157" s="7" t="n">
        <x:v>20</x:v>
      </x:c>
      <x:c r="J157" s="9" t="str">
        <x:v>PENDIENTE</x:v>
      </x:c>
      <x:c r="K157" s="10" t="n">
        <x:v>46827</x:v>
      </x:c>
      <x:c r="L157" s="7" t="str">
        <x:v>Avance 2028-03-15</x:v>
      </x:c>
      <x:c r="M157" s="8" t="str">
        <x:v>Validar aplicabilidad antes de remediar.</x:v>
      </x:c>
      <x:c r="N157" s="17"/>
      <x:c r="O157" s="17"/>
    </x:row>
    <x:row r="158" ht="15" hidden="0" customHeight="1">
      <x:c r="A158" s="7" t="str">
        <x:v>SIAJ-0193</x:v>
      </x:c>
      <x:c r="B158" s="7" t="str">
        <x:v>SAST</x:v>
      </x:c>
      <x:c r="C158" s="7" t="str">
        <x:v>MEDIUM</x:v>
      </x:c>
      <x:c r="D158" s="8" t="str">
        <x:v>Parameter_Tampering 178/196</x:v>
      </x:c>
      <x:c r="E158" s="7" t="str">
        <x:v>Código fuente Java</x:v>
      </x:c>
      <x:c r="F158" s="7" t="str"/>
      <x:c r="G158" s="7" t="str">
        <x:v>CWE-472</x:v>
      </x:c>
      <x:c r="H158" s="7" t="str"/>
      <x:c r="I158" s="7" t="n">
        <x:v>20</x:v>
      </x:c>
      <x:c r="J158" s="9" t="str">
        <x:v>PENDIENTE</x:v>
      </x:c>
      <x:c r="K158" s="10" t="n">
        <x:v>46827</x:v>
      </x:c>
      <x:c r="L158" s="7" t="str">
        <x:v>Avance 2028-03-15</x:v>
      </x:c>
      <x:c r="M158" s="8" t="str">
        <x:v>Validar aplicabilidad antes de remediar.</x:v>
      </x:c>
      <x:c r="N158" s="17"/>
      <x:c r="O158" s="17"/>
    </x:row>
    <x:row r="159" ht="15" hidden="0" customHeight="1">
      <x:c r="A159" s="7" t="str">
        <x:v>SIAJ-0194</x:v>
      </x:c>
      <x:c r="B159" s="7" t="str">
        <x:v>SAST</x:v>
      </x:c>
      <x:c r="C159" s="7" t="str">
        <x:v>MEDIUM</x:v>
      </x:c>
      <x:c r="D159" s="8" t="str">
        <x:v>Parameter_Tampering 179/196</x:v>
      </x:c>
      <x:c r="E159" s="7" t="str">
        <x:v>Código fuente Java</x:v>
      </x:c>
      <x:c r="F159" s="7" t="str"/>
      <x:c r="G159" s="7" t="str">
        <x:v>CWE-472</x:v>
      </x:c>
      <x:c r="H159" s="7" t="str"/>
      <x:c r="I159" s="7" t="n">
        <x:v>20</x:v>
      </x:c>
      <x:c r="J159" s="9" t="str">
        <x:v>PENDIENTE</x:v>
      </x:c>
      <x:c r="K159" s="10" t="n">
        <x:v>46827</x:v>
      </x:c>
      <x:c r="L159" s="7" t="str">
        <x:v>Avance 2028-03-15</x:v>
      </x:c>
      <x:c r="M159" s="8" t="str">
        <x:v>Validar aplicabilidad antes de remediar.</x:v>
      </x:c>
      <x:c r="N159" s="17"/>
      <x:c r="O159" s="17"/>
    </x:row>
    <x:row r="160" ht="15" hidden="0" customHeight="1">
      <x:c r="A160" s="7" t="str">
        <x:v>SIAJ-0033</x:v>
      </x:c>
      <x:c r="B160" s="7" t="str">
        <x:v>SAST</x:v>
      </x:c>
      <x:c r="C160" s="7" t="str">
        <x:v>MEDIUM</x:v>
      </x:c>
      <x:c r="D160" s="8" t="str">
        <x:v>Parameter_Tampering 18/196</x:v>
      </x:c>
      <x:c r="E160" s="7" t="str">
        <x:v>Código fuente Java</x:v>
      </x:c>
      <x:c r="F160" s="7" t="str"/>
      <x:c r="G160" s="7" t="str">
        <x:v>CWE-472</x:v>
      </x:c>
      <x:c r="H160" s="7" t="str"/>
      <x:c r="I160" s="7" t="n">
        <x:v>20</x:v>
      </x:c>
      <x:c r="J160" s="9" t="str">
        <x:v>PENDIENTE</x:v>
      </x:c>
      <x:c r="K160" s="10" t="n">
        <x:v>46827</x:v>
      </x:c>
      <x:c r="L160" s="7" t="str">
        <x:v>Avance 2028-03-15</x:v>
      </x:c>
      <x:c r="M160" s="8" t="str">
        <x:v>Validar aplicabilidad antes de remediar.</x:v>
      </x:c>
      <x:c r="N160" s="17"/>
      <x:c r="O160" s="17"/>
    </x:row>
    <x:row r="161" ht="15" hidden="0" customHeight="1">
      <x:c r="A161" s="7" t="str">
        <x:v>SIAJ-0195</x:v>
      </x:c>
      <x:c r="B161" s="7" t="str">
        <x:v>SAST</x:v>
      </x:c>
      <x:c r="C161" s="7" t="str">
        <x:v>MEDIUM</x:v>
      </x:c>
      <x:c r="D161" s="8" t="str">
        <x:v>Parameter_Tampering 180/196</x:v>
      </x:c>
      <x:c r="E161" s="7" t="str">
        <x:v>Código fuente Java</x:v>
      </x:c>
      <x:c r="F161" s="7" t="str"/>
      <x:c r="G161" s="7" t="str">
        <x:v>CWE-472</x:v>
      </x:c>
      <x:c r="H161" s="7" t="str"/>
      <x:c r="I161" s="7" t="n">
        <x:v>20</x:v>
      </x:c>
      <x:c r="J161" s="9" t="str">
        <x:v>PENDIENTE</x:v>
      </x:c>
      <x:c r="K161" s="10" t="n">
        <x:v>46827</x:v>
      </x:c>
      <x:c r="L161" s="7" t="str">
        <x:v>Avance 2028-03-15</x:v>
      </x:c>
      <x:c r="M161" s="8" t="str">
        <x:v>Validar aplicabilidad antes de remediar.</x:v>
      </x:c>
      <x:c r="N161" s="17"/>
      <x:c r="O161" s="17"/>
    </x:row>
    <x:row r="162" ht="15" hidden="0" customHeight="1">
      <x:c r="A162" s="7" t="str">
        <x:v>SIAJ-0196</x:v>
      </x:c>
      <x:c r="B162" s="7" t="str">
        <x:v>SAST</x:v>
      </x:c>
      <x:c r="C162" s="7" t="str">
        <x:v>MEDIUM</x:v>
      </x:c>
      <x:c r="D162" s="8" t="str">
        <x:v>Parameter_Tampering 181/196</x:v>
      </x:c>
      <x:c r="E162" s="7" t="str">
        <x:v>Código fuente Java</x:v>
      </x:c>
      <x:c r="F162" s="7" t="str"/>
      <x:c r="G162" s="7" t="str">
        <x:v>CWE-472</x:v>
      </x:c>
      <x:c r="H162" s="7" t="str"/>
      <x:c r="I162" s="7" t="n">
        <x:v>20</x:v>
      </x:c>
      <x:c r="J162" s="9" t="str">
        <x:v>PENDIENTE</x:v>
      </x:c>
      <x:c r="K162" s="10" t="n">
        <x:v>46858</x:v>
      </x:c>
      <x:c r="L162" s="7" t="str">
        <x:v>Avance 2028-04-15</x:v>
      </x:c>
      <x:c r="M162" s="8" t="str">
        <x:v>Validar aplicabilidad antes de remediar.</x:v>
      </x:c>
      <x:c r="N162" s="17"/>
      <x:c r="O162" s="17"/>
    </x:row>
    <x:row r="163" ht="15" hidden="0" customHeight="1">
      <x:c r="A163" s="7" t="str">
        <x:v>SIAJ-0197</x:v>
      </x:c>
      <x:c r="B163" s="7" t="str">
        <x:v>SAST</x:v>
      </x:c>
      <x:c r="C163" s="7" t="str">
        <x:v>MEDIUM</x:v>
      </x:c>
      <x:c r="D163" s="8" t="str">
        <x:v>Parameter_Tampering 182/196</x:v>
      </x:c>
      <x:c r="E163" s="7" t="str">
        <x:v>Código fuente Java</x:v>
      </x:c>
      <x:c r="F163" s="7" t="str"/>
      <x:c r="G163" s="7" t="str">
        <x:v>CWE-472</x:v>
      </x:c>
      <x:c r="H163" s="7" t="str"/>
      <x:c r="I163" s="7" t="n">
        <x:v>20</x:v>
      </x:c>
      <x:c r="J163" s="9" t="str">
        <x:v>PENDIENTE</x:v>
      </x:c>
      <x:c r="K163" s="10" t="n">
        <x:v>46858</x:v>
      </x:c>
      <x:c r="L163" s="7" t="str">
        <x:v>Avance 2028-04-15</x:v>
      </x:c>
      <x:c r="M163" s="8" t="str">
        <x:v>Validar aplicabilidad antes de remediar.</x:v>
      </x:c>
      <x:c r="N163" s="17"/>
      <x:c r="O163" s="17"/>
    </x:row>
    <x:row r="164" ht="15" hidden="0" customHeight="1">
      <x:c r="A164" s="7" t="str">
        <x:v>SIAJ-0198</x:v>
      </x:c>
      <x:c r="B164" s="7" t="str">
        <x:v>SAST</x:v>
      </x:c>
      <x:c r="C164" s="7" t="str">
        <x:v>MEDIUM</x:v>
      </x:c>
      <x:c r="D164" s="8" t="str">
        <x:v>Parameter_Tampering 183/196</x:v>
      </x:c>
      <x:c r="E164" s="7" t="str">
        <x:v>Código fuente Java</x:v>
      </x:c>
      <x:c r="F164" s="7" t="str"/>
      <x:c r="G164" s="7" t="str">
        <x:v>CWE-472</x:v>
      </x:c>
      <x:c r="H164" s="7" t="str"/>
      <x:c r="I164" s="7" t="n">
        <x:v>20</x:v>
      </x:c>
      <x:c r="J164" s="9" t="str">
        <x:v>PENDIENTE</x:v>
      </x:c>
      <x:c r="K164" s="10" t="n">
        <x:v>46858</x:v>
      </x:c>
      <x:c r="L164" s="7" t="str">
        <x:v>Avance 2028-04-15</x:v>
      </x:c>
      <x:c r="M164" s="8" t="str">
        <x:v>Validar aplicabilidad antes de remediar.</x:v>
      </x:c>
      <x:c r="N164" s="17"/>
      <x:c r="O164" s="17"/>
    </x:row>
    <x:row r="165" ht="15" hidden="0" customHeight="1">
      <x:c r="A165" s="7" t="str">
        <x:v>SIAJ-0199</x:v>
      </x:c>
      <x:c r="B165" s="7" t="str">
        <x:v>SAST</x:v>
      </x:c>
      <x:c r="C165" s="7" t="str">
        <x:v>MEDIUM</x:v>
      </x:c>
      <x:c r="D165" s="8" t="str">
        <x:v>Parameter_Tampering 184/196</x:v>
      </x:c>
      <x:c r="E165" s="7" t="str">
        <x:v>Código fuente Java</x:v>
      </x:c>
      <x:c r="F165" s="7" t="str"/>
      <x:c r="G165" s="7" t="str">
        <x:v>CWE-472</x:v>
      </x:c>
      <x:c r="H165" s="7" t="str"/>
      <x:c r="I165" s="7" t="n">
        <x:v>20</x:v>
      </x:c>
      <x:c r="J165" s="9" t="str">
        <x:v>PENDIENTE</x:v>
      </x:c>
      <x:c r="K165" s="10" t="n">
        <x:v>46858</x:v>
      </x:c>
      <x:c r="L165" s="7" t="str">
        <x:v>Avance 2028-04-15</x:v>
      </x:c>
      <x:c r="M165" s="8" t="str">
        <x:v>Validar aplicabilidad antes de remediar.</x:v>
      </x:c>
      <x:c r="N165" s="17"/>
      <x:c r="O165" s="17"/>
    </x:row>
    <x:row r="166" ht="15" hidden="0" customHeight="1">
      <x:c r="A166" s="7" t="str">
        <x:v>SIAJ-0200</x:v>
      </x:c>
      <x:c r="B166" s="7" t="str">
        <x:v>SAST</x:v>
      </x:c>
      <x:c r="C166" s="7" t="str">
        <x:v>MEDIUM</x:v>
      </x:c>
      <x:c r="D166" s="8" t="str">
        <x:v>Parameter_Tampering 185/196</x:v>
      </x:c>
      <x:c r="E166" s="7" t="str">
        <x:v>Código fuente Java</x:v>
      </x:c>
      <x:c r="F166" s="7" t="str"/>
      <x:c r="G166" s="7" t="str">
        <x:v>CWE-472</x:v>
      </x:c>
      <x:c r="H166" s="7" t="str"/>
      <x:c r="I166" s="7" t="n">
        <x:v>20</x:v>
      </x:c>
      <x:c r="J166" s="9" t="str">
        <x:v>PENDIENTE</x:v>
      </x:c>
      <x:c r="K166" s="10" t="n">
        <x:v>46858</x:v>
      </x:c>
      <x:c r="L166" s="7" t="str">
        <x:v>Avance 2028-04-15</x:v>
      </x:c>
      <x:c r="M166" s="8" t="str">
        <x:v>Validar aplicabilidad antes de remediar.</x:v>
      </x:c>
      <x:c r="N166" s="17"/>
      <x:c r="O166" s="17"/>
    </x:row>
    <x:row r="167" ht="15" hidden="0" customHeight="1">
      <x:c r="A167" s="7" t="str">
        <x:v>SIAJ-0201</x:v>
      </x:c>
      <x:c r="B167" s="7" t="str">
        <x:v>SAST</x:v>
      </x:c>
      <x:c r="C167" s="7" t="str">
        <x:v>MEDIUM</x:v>
      </x:c>
      <x:c r="D167" s="8" t="str">
        <x:v>Parameter_Tampering 186/196</x:v>
      </x:c>
      <x:c r="E167" s="7" t="str">
        <x:v>Código fuente Java</x:v>
      </x:c>
      <x:c r="F167" s="7" t="str"/>
      <x:c r="G167" s="7" t="str">
        <x:v>CWE-472</x:v>
      </x:c>
      <x:c r="H167" s="7" t="str"/>
      <x:c r="I167" s="7" t="n">
        <x:v>20</x:v>
      </x:c>
      <x:c r="J167" s="9" t="str">
        <x:v>PENDIENTE</x:v>
      </x:c>
      <x:c r="K167" s="10" t="n">
        <x:v>46858</x:v>
      </x:c>
      <x:c r="L167" s="7" t="str">
        <x:v>Avance 2028-04-15</x:v>
      </x:c>
      <x:c r="M167" s="8" t="str">
        <x:v>Validar aplicabilidad antes de remediar.</x:v>
      </x:c>
      <x:c r="N167" s="17"/>
      <x:c r="O167" s="17"/>
    </x:row>
    <x:row r="168" ht="15" hidden="0" customHeight="1">
      <x:c r="A168" s="7" t="str">
        <x:v>SIAJ-0202</x:v>
      </x:c>
      <x:c r="B168" s="7" t="str">
        <x:v>SAST</x:v>
      </x:c>
      <x:c r="C168" s="7" t="str">
        <x:v>MEDIUM</x:v>
      </x:c>
      <x:c r="D168" s="8" t="str">
        <x:v>Parameter_Tampering 187/196</x:v>
      </x:c>
      <x:c r="E168" s="7" t="str">
        <x:v>Código fuente Java</x:v>
      </x:c>
      <x:c r="F168" s="7" t="str"/>
      <x:c r="G168" s="7" t="str">
        <x:v>CWE-472</x:v>
      </x:c>
      <x:c r="H168" s="7" t="str"/>
      <x:c r="I168" s="7" t="n">
        <x:v>20</x:v>
      </x:c>
      <x:c r="J168" s="9" t="str">
        <x:v>PENDIENTE</x:v>
      </x:c>
      <x:c r="K168" s="10" t="n">
        <x:v>46858</x:v>
      </x:c>
      <x:c r="L168" s="7" t="str">
        <x:v>Avance 2028-04-15</x:v>
      </x:c>
      <x:c r="M168" s="8" t="str">
        <x:v>Validar aplicabilidad antes de remediar.</x:v>
      </x:c>
      <x:c r="N168" s="17"/>
      <x:c r="O168" s="17"/>
    </x:row>
    <x:row r="169" ht="15" hidden="0" customHeight="1">
      <x:c r="A169" s="7" t="str">
        <x:v>SIAJ-0203</x:v>
      </x:c>
      <x:c r="B169" s="7" t="str">
        <x:v>SAST</x:v>
      </x:c>
      <x:c r="C169" s="7" t="str">
        <x:v>MEDIUM</x:v>
      </x:c>
      <x:c r="D169" s="8" t="str">
        <x:v>Parameter_Tampering 188/196</x:v>
      </x:c>
      <x:c r="E169" s="7" t="str">
        <x:v>Código fuente Java</x:v>
      </x:c>
      <x:c r="F169" s="7" t="str"/>
      <x:c r="G169" s="7" t="str">
        <x:v>CWE-472</x:v>
      </x:c>
      <x:c r="H169" s="7" t="str"/>
      <x:c r="I169" s="7" t="n">
        <x:v>20</x:v>
      </x:c>
      <x:c r="J169" s="9" t="str">
        <x:v>PENDIENTE</x:v>
      </x:c>
      <x:c r="K169" s="10" t="n">
        <x:v>46858</x:v>
      </x:c>
      <x:c r="L169" s="7" t="str">
        <x:v>Avance 2028-04-15</x:v>
      </x:c>
      <x:c r="M169" s="8" t="str">
        <x:v>Validar aplicabilidad antes de remediar.</x:v>
      </x:c>
      <x:c r="N169" s="17"/>
      <x:c r="O169" s="17"/>
    </x:row>
    <x:row r="170" ht="15" hidden="0" customHeight="1">
      <x:c r="A170" s="7" t="str">
        <x:v>SIAJ-0204</x:v>
      </x:c>
      <x:c r="B170" s="7" t="str">
        <x:v>SAST</x:v>
      </x:c>
      <x:c r="C170" s="7" t="str">
        <x:v>MEDIUM</x:v>
      </x:c>
      <x:c r="D170" s="8" t="str">
        <x:v>Parameter_Tampering 189/196</x:v>
      </x:c>
      <x:c r="E170" s="7" t="str">
        <x:v>Código fuente Java</x:v>
      </x:c>
      <x:c r="F170" s="7" t="str"/>
      <x:c r="G170" s="7" t="str">
        <x:v>CWE-472</x:v>
      </x:c>
      <x:c r="H170" s="7" t="str"/>
      <x:c r="I170" s="7" t="n">
        <x:v>20</x:v>
      </x:c>
      <x:c r="J170" s="9" t="str">
        <x:v>PENDIENTE</x:v>
      </x:c>
      <x:c r="K170" s="10" t="n">
        <x:v>46858</x:v>
      </x:c>
      <x:c r="L170" s="7" t="str">
        <x:v>Avance 2028-04-15</x:v>
      </x:c>
      <x:c r="M170" s="8" t="str">
        <x:v>Validar aplicabilidad antes de remediar.</x:v>
      </x:c>
      <x:c r="N170" s="17"/>
      <x:c r="O170" s="17"/>
    </x:row>
    <x:row r="171" ht="15" hidden="0" customHeight="1">
      <x:c r="A171" s="7" t="str">
        <x:v>SIAJ-0034</x:v>
      </x:c>
      <x:c r="B171" s="7" t="str">
        <x:v>SAST</x:v>
      </x:c>
      <x:c r="C171" s="7" t="str">
        <x:v>MEDIUM</x:v>
      </x:c>
      <x:c r="D171" s="8" t="str">
        <x:v>Parameter_Tampering 19/196</x:v>
      </x:c>
      <x:c r="E171" s="7" t="str">
        <x:v>Código fuente Java</x:v>
      </x:c>
      <x:c r="F171" s="7" t="str"/>
      <x:c r="G171" s="7" t="str">
        <x:v>CWE-472</x:v>
      </x:c>
      <x:c r="H171" s="7" t="str"/>
      <x:c r="I171" s="7" t="n">
        <x:v>20</x:v>
      </x:c>
      <x:c r="J171" s="9" t="str">
        <x:v>PENDIENTE</x:v>
      </x:c>
      <x:c r="K171" s="10" t="n">
        <x:v>46858</x:v>
      </x:c>
      <x:c r="L171" s="7" t="str">
        <x:v>Avance 2028-04-15</x:v>
      </x:c>
      <x:c r="M171" s="8" t="str">
        <x:v>Validar aplicabilidad antes de remediar.</x:v>
      </x:c>
      <x:c r="N171" s="17"/>
      <x:c r="O171" s="17"/>
    </x:row>
    <x:row r="172" ht="15" hidden="0" customHeight="1">
      <x:c r="A172" s="7" t="str">
        <x:v>SIAJ-0205</x:v>
      </x:c>
      <x:c r="B172" s="7" t="str">
        <x:v>SAST</x:v>
      </x:c>
      <x:c r="C172" s="7" t="str">
        <x:v>MEDIUM</x:v>
      </x:c>
      <x:c r="D172" s="8" t="str">
        <x:v>Parameter_Tampering 190/196</x:v>
      </x:c>
      <x:c r="E172" s="7" t="str">
        <x:v>Código fuente Java</x:v>
      </x:c>
      <x:c r="F172" s="7" t="str"/>
      <x:c r="G172" s="7" t="str">
        <x:v>CWE-472</x:v>
      </x:c>
      <x:c r="H172" s="7" t="str"/>
      <x:c r="I172" s="7" t="n">
        <x:v>20</x:v>
      </x:c>
      <x:c r="J172" s="9" t="str">
        <x:v>PENDIENTE</x:v>
      </x:c>
      <x:c r="K172" s="10" t="n">
        <x:v>46858</x:v>
      </x:c>
      <x:c r="L172" s="7" t="str">
        <x:v>Avance 2028-04-15</x:v>
      </x:c>
      <x:c r="M172" s="8" t="str">
        <x:v>Validar aplicabilidad antes de remediar.</x:v>
      </x:c>
      <x:c r="N172" s="17"/>
      <x:c r="O172" s="17"/>
    </x:row>
    <x:row r="173" ht="15" hidden="0" customHeight="1">
      <x:c r="A173" s="7" t="str">
        <x:v>SIAJ-0206</x:v>
      </x:c>
      <x:c r="B173" s="7" t="str">
        <x:v>SAST</x:v>
      </x:c>
      <x:c r="C173" s="7" t="str">
        <x:v>MEDIUM</x:v>
      </x:c>
      <x:c r="D173" s="8" t="str">
        <x:v>Parameter_Tampering 191/196</x:v>
      </x:c>
      <x:c r="E173" s="7" t="str">
        <x:v>Código fuente Java</x:v>
      </x:c>
      <x:c r="F173" s="7" t="str"/>
      <x:c r="G173" s="7" t="str">
        <x:v>CWE-472</x:v>
      </x:c>
      <x:c r="H173" s="7" t="str"/>
      <x:c r="I173" s="7" t="n">
        <x:v>20</x:v>
      </x:c>
      <x:c r="J173" s="9" t="str">
        <x:v>PENDIENTE</x:v>
      </x:c>
      <x:c r="K173" s="10" t="n">
        <x:v>46858</x:v>
      </x:c>
      <x:c r="L173" s="7" t="str">
        <x:v>Avance 2028-04-15</x:v>
      </x:c>
      <x:c r="M173" s="8" t="str">
        <x:v>Validar aplicabilidad antes de remediar.</x:v>
      </x:c>
      <x:c r="N173" s="17"/>
      <x:c r="O173" s="17"/>
    </x:row>
    <x:row r="174" ht="15" hidden="0" customHeight="1">
      <x:c r="A174" s="7" t="str">
        <x:v>SIAJ-0207</x:v>
      </x:c>
      <x:c r="B174" s="7" t="str">
        <x:v>SAST</x:v>
      </x:c>
      <x:c r="C174" s="7" t="str">
        <x:v>MEDIUM</x:v>
      </x:c>
      <x:c r="D174" s="8" t="str">
        <x:v>Parameter_Tampering 192/196</x:v>
      </x:c>
      <x:c r="E174" s="7" t="str">
        <x:v>Código fuente Java</x:v>
      </x:c>
      <x:c r="F174" s="7" t="str"/>
      <x:c r="G174" s="7" t="str">
        <x:v>CWE-472</x:v>
      </x:c>
      <x:c r="H174" s="7" t="str"/>
      <x:c r="I174" s="7" t="n">
        <x:v>20</x:v>
      </x:c>
      <x:c r="J174" s="9" t="str">
        <x:v>PENDIENTE</x:v>
      </x:c>
      <x:c r="K174" s="10" t="n">
        <x:v>46858</x:v>
      </x:c>
      <x:c r="L174" s="7" t="str">
        <x:v>Avance 2028-04-15</x:v>
      </x:c>
      <x:c r="M174" s="8" t="str">
        <x:v>Validar aplicabilidad antes de remediar.</x:v>
      </x:c>
      <x:c r="N174" s="17"/>
      <x:c r="O174" s="17"/>
    </x:row>
    <x:row r="175" ht="15" hidden="0" customHeight="1">
      <x:c r="A175" s="7" t="str">
        <x:v>SIAJ-0208</x:v>
      </x:c>
      <x:c r="B175" s="7" t="str">
        <x:v>SAST</x:v>
      </x:c>
      <x:c r="C175" s="7" t="str">
        <x:v>MEDIUM</x:v>
      </x:c>
      <x:c r="D175" s="8" t="str">
        <x:v>Parameter_Tampering 193/196</x:v>
      </x:c>
      <x:c r="E175" s="7" t="str">
        <x:v>Código fuente Java</x:v>
      </x:c>
      <x:c r="F175" s="7" t="str"/>
      <x:c r="G175" s="7" t="str">
        <x:v>CWE-472</x:v>
      </x:c>
      <x:c r="H175" s="7" t="str"/>
      <x:c r="I175" s="7" t="n">
        <x:v>20</x:v>
      </x:c>
      <x:c r="J175" s="9" t="str">
        <x:v>PENDIENTE</x:v>
      </x:c>
      <x:c r="K175" s="10" t="n">
        <x:v>46858</x:v>
      </x:c>
      <x:c r="L175" s="7" t="str">
        <x:v>Avance 2028-04-15</x:v>
      </x:c>
      <x:c r="M175" s="8" t="str">
        <x:v>Validar aplicabilidad antes de remediar.</x:v>
      </x:c>
      <x:c r="N175" s="17"/>
      <x:c r="O175" s="17"/>
    </x:row>
    <x:row r="176" ht="15" hidden="0" customHeight="1">
      <x:c r="A176" s="7" t="str">
        <x:v>SIAJ-0209</x:v>
      </x:c>
      <x:c r="B176" s="7" t="str">
        <x:v>SAST</x:v>
      </x:c>
      <x:c r="C176" s="7" t="str">
        <x:v>MEDIUM</x:v>
      </x:c>
      <x:c r="D176" s="8" t="str">
        <x:v>Parameter_Tampering 194/196</x:v>
      </x:c>
      <x:c r="E176" s="7" t="str">
        <x:v>Código fuente Java</x:v>
      </x:c>
      <x:c r="F176" s="7" t="str"/>
      <x:c r="G176" s="7" t="str">
        <x:v>CWE-472</x:v>
      </x:c>
      <x:c r="H176" s="7" t="str"/>
      <x:c r="I176" s="7" t="n">
        <x:v>20</x:v>
      </x:c>
      <x:c r="J176" s="9" t="str">
        <x:v>PENDIENTE</x:v>
      </x:c>
      <x:c r="K176" s="10" t="n">
        <x:v>46858</x:v>
      </x:c>
      <x:c r="L176" s="7" t="str">
        <x:v>Avance 2028-04-15</x:v>
      </x:c>
      <x:c r="M176" s="8" t="str">
        <x:v>Validar aplicabilidad antes de remediar.</x:v>
      </x:c>
      <x:c r="N176" s="17"/>
      <x:c r="O176" s="17"/>
    </x:row>
    <x:row r="177" ht="15" hidden="0" customHeight="1">
      <x:c r="A177" s="7" t="str">
        <x:v>SIAJ-0210</x:v>
      </x:c>
      <x:c r="B177" s="7" t="str">
        <x:v>SAST</x:v>
      </x:c>
      <x:c r="C177" s="7" t="str">
        <x:v>MEDIUM</x:v>
      </x:c>
      <x:c r="D177" s="8" t="str">
        <x:v>Parameter_Tampering 195/196</x:v>
      </x:c>
      <x:c r="E177" s="7" t="str">
        <x:v>Código fuente Java</x:v>
      </x:c>
      <x:c r="F177" s="7" t="str"/>
      <x:c r="G177" s="7" t="str">
        <x:v>CWE-472</x:v>
      </x:c>
      <x:c r="H177" s="7" t="str"/>
      <x:c r="I177" s="7" t="n">
        <x:v>20</x:v>
      </x:c>
      <x:c r="J177" s="9" t="str">
        <x:v>PENDIENTE</x:v>
      </x:c>
      <x:c r="K177" s="10" t="n">
        <x:v>46858</x:v>
      </x:c>
      <x:c r="L177" s="7" t="str">
        <x:v>Avance 2028-04-15</x:v>
      </x:c>
      <x:c r="M177" s="8" t="str">
        <x:v>Validar aplicabilidad antes de remediar.</x:v>
      </x:c>
      <x:c r="N177" s="17"/>
      <x:c r="O177" s="17"/>
    </x:row>
    <x:row r="178" ht="15" hidden="0" customHeight="1">
      <x:c r="A178" s="7" t="str">
        <x:v>SIAJ-0211</x:v>
      </x:c>
      <x:c r="B178" s="7" t="str">
        <x:v>SAST</x:v>
      </x:c>
      <x:c r="C178" s="7" t="str">
        <x:v>MEDIUM</x:v>
      </x:c>
      <x:c r="D178" s="8" t="str">
        <x:v>Parameter_Tampering 196/196</x:v>
      </x:c>
      <x:c r="E178" s="7" t="str">
        <x:v>Código fuente Java</x:v>
      </x:c>
      <x:c r="F178" s="7" t="str"/>
      <x:c r="G178" s="7" t="str">
        <x:v>CWE-472</x:v>
      </x:c>
      <x:c r="H178" s="7" t="str"/>
      <x:c r="I178" s="7" t="n">
        <x:v>20</x:v>
      </x:c>
      <x:c r="J178" s="9" t="str">
        <x:v>PENDIENTE</x:v>
      </x:c>
      <x:c r="K178" s="10" t="n">
        <x:v>46858</x:v>
      </x:c>
      <x:c r="L178" s="7" t="str">
        <x:v>Avance 2028-04-15</x:v>
      </x:c>
      <x:c r="M178" s="8" t="str">
        <x:v>Validar aplicabilidad antes de remediar.</x:v>
      </x:c>
      <x:c r="N178" s="17"/>
      <x:c r="O178" s="17"/>
    </x:row>
    <x:row r="179" ht="15" hidden="0" customHeight="1">
      <x:c r="A179" s="7" t="str">
        <x:v>SIAJ-0017</x:v>
      </x:c>
      <x:c r="B179" s="7" t="str">
        <x:v>SAST</x:v>
      </x:c>
      <x:c r="C179" s="7" t="str">
        <x:v>MEDIUM</x:v>
      </x:c>
      <x:c r="D179" s="8" t="str">
        <x:v>Parameter_Tampering 2/196</x:v>
      </x:c>
      <x:c r="E179" s="7" t="str">
        <x:v>Código fuente Java</x:v>
      </x:c>
      <x:c r="F179" s="7" t="str"/>
      <x:c r="G179" s="7" t="str">
        <x:v>CWE-472</x:v>
      </x:c>
      <x:c r="H179" s="7" t="str"/>
      <x:c r="I179" s="7" t="n">
        <x:v>20</x:v>
      </x:c>
      <x:c r="J179" s="9" t="str">
        <x:v>PENDIENTE</x:v>
      </x:c>
      <x:c r="K179" s="10" t="n">
        <x:v>46858</x:v>
      </x:c>
      <x:c r="L179" s="7" t="str">
        <x:v>Avance 2028-04-15</x:v>
      </x:c>
      <x:c r="M179" s="8" t="str">
        <x:v>Validar aplicabilidad antes de remediar.</x:v>
      </x:c>
      <x:c r="N179" s="17"/>
      <x:c r="O179" s="17"/>
    </x:row>
    <x:row r="180" ht="15" hidden="0" customHeight="1">
      <x:c r="A180" s="7" t="str">
        <x:v>SIAJ-0035</x:v>
      </x:c>
      <x:c r="B180" s="7" t="str">
        <x:v>SAST</x:v>
      </x:c>
      <x:c r="C180" s="7" t="str">
        <x:v>MEDIUM</x:v>
      </x:c>
      <x:c r="D180" s="8" t="str">
        <x:v>Parameter_Tampering 20/196</x:v>
      </x:c>
      <x:c r="E180" s="7" t="str">
        <x:v>Código fuente Java</x:v>
      </x:c>
      <x:c r="F180" s="7" t="str"/>
      <x:c r="G180" s="7" t="str">
        <x:v>CWE-472</x:v>
      </x:c>
      <x:c r="H180" s="7" t="str"/>
      <x:c r="I180" s="7" t="n">
        <x:v>20</x:v>
      </x:c>
      <x:c r="J180" s="9" t="str">
        <x:v>PENDIENTE</x:v>
      </x:c>
      <x:c r="K180" s="10" t="n">
        <x:v>46888</x:v>
      </x:c>
      <x:c r="L180" s="7" t="str">
        <x:v>Avance 2028-05-15</x:v>
      </x:c>
      <x:c r="M180" s="8" t="str">
        <x:v>Validar aplicabilidad antes de remediar.</x:v>
      </x:c>
      <x:c r="N180" s="17"/>
      <x:c r="O180" s="17"/>
    </x:row>
    <x:row r="181" ht="15" hidden="0" customHeight="1">
      <x:c r="A181" s="7" t="str">
        <x:v>SIAJ-0036</x:v>
      </x:c>
      <x:c r="B181" s="7" t="str">
        <x:v>SAST</x:v>
      </x:c>
      <x:c r="C181" s="7" t="str">
        <x:v>MEDIUM</x:v>
      </x:c>
      <x:c r="D181" s="8" t="str">
        <x:v>Parameter_Tampering 21/196</x:v>
      </x:c>
      <x:c r="E181" s="7" t="str">
        <x:v>Código fuente Java</x:v>
      </x:c>
      <x:c r="F181" s="7" t="str"/>
      <x:c r="G181" s="7" t="str">
        <x:v>CWE-472</x:v>
      </x:c>
      <x:c r="H181" s="7" t="str"/>
      <x:c r="I181" s="7" t="n">
        <x:v>20</x:v>
      </x:c>
      <x:c r="J181" s="9" t="str">
        <x:v>PENDIENTE</x:v>
      </x:c>
      <x:c r="K181" s="10" t="n">
        <x:v>46888</x:v>
      </x:c>
      <x:c r="L181" s="7" t="str">
        <x:v>Avance 2028-05-15</x:v>
      </x:c>
      <x:c r="M181" s="8" t="str">
        <x:v>Validar aplicabilidad antes de remediar.</x:v>
      </x:c>
      <x:c r="N181" s="17"/>
      <x:c r="O181" s="17"/>
    </x:row>
    <x:row r="182" ht="15" hidden="0" customHeight="1">
      <x:c r="A182" s="7" t="str">
        <x:v>SIAJ-0037</x:v>
      </x:c>
      <x:c r="B182" s="7" t="str">
        <x:v>SAST</x:v>
      </x:c>
      <x:c r="C182" s="7" t="str">
        <x:v>MEDIUM</x:v>
      </x:c>
      <x:c r="D182" s="8" t="str">
        <x:v>Parameter_Tampering 22/196</x:v>
      </x:c>
      <x:c r="E182" s="7" t="str">
        <x:v>Código fuente Java</x:v>
      </x:c>
      <x:c r="F182" s="7" t="str"/>
      <x:c r="G182" s="7" t="str">
        <x:v>CWE-472</x:v>
      </x:c>
      <x:c r="H182" s="7" t="str"/>
      <x:c r="I182" s="7" t="n">
        <x:v>20</x:v>
      </x:c>
      <x:c r="J182" s="9" t="str">
        <x:v>PENDIENTE</x:v>
      </x:c>
      <x:c r="K182" s="10" t="n">
        <x:v>46888</x:v>
      </x:c>
      <x:c r="L182" s="7" t="str">
        <x:v>Avance 2028-05-15</x:v>
      </x:c>
      <x:c r="M182" s="8" t="str">
        <x:v>Validar aplicabilidad antes de remediar.</x:v>
      </x:c>
      <x:c r="N182" s="17"/>
      <x:c r="O182" s="17"/>
    </x:row>
    <x:row r="183" ht="15" hidden="0" customHeight="1">
      <x:c r="A183" s="7" t="str">
        <x:v>SIAJ-0038</x:v>
      </x:c>
      <x:c r="B183" s="7" t="str">
        <x:v>SAST</x:v>
      </x:c>
      <x:c r="C183" s="7" t="str">
        <x:v>MEDIUM</x:v>
      </x:c>
      <x:c r="D183" s="8" t="str">
        <x:v>Parameter_Tampering 23/196</x:v>
      </x:c>
      <x:c r="E183" s="7" t="str">
        <x:v>Código fuente Java</x:v>
      </x:c>
      <x:c r="F183" s="7" t="str"/>
      <x:c r="G183" s="7" t="str">
        <x:v>CWE-472</x:v>
      </x:c>
      <x:c r="H183" s="7" t="str"/>
      <x:c r="I183" s="7" t="n">
        <x:v>20</x:v>
      </x:c>
      <x:c r="J183" s="9" t="str">
        <x:v>PENDIENTE</x:v>
      </x:c>
      <x:c r="K183" s="10" t="n">
        <x:v>46888</x:v>
      </x:c>
      <x:c r="L183" s="7" t="str">
        <x:v>Avance 2028-05-15</x:v>
      </x:c>
      <x:c r="M183" s="8" t="str">
        <x:v>Validar aplicabilidad antes de remediar.</x:v>
      </x:c>
      <x:c r="N183" s="17"/>
      <x:c r="O183" s="17"/>
    </x:row>
    <x:row r="184" ht="15" hidden="0" customHeight="1">
      <x:c r="A184" s="7" t="str">
        <x:v>SIAJ-0039</x:v>
      </x:c>
      <x:c r="B184" s="7" t="str">
        <x:v>SAST</x:v>
      </x:c>
      <x:c r="C184" s="7" t="str">
        <x:v>MEDIUM</x:v>
      </x:c>
      <x:c r="D184" s="8" t="str">
        <x:v>Parameter_Tampering 24/196</x:v>
      </x:c>
      <x:c r="E184" s="7" t="str">
        <x:v>Código fuente Java</x:v>
      </x:c>
      <x:c r="F184" s="7" t="str"/>
      <x:c r="G184" s="7" t="str">
        <x:v>CWE-472</x:v>
      </x:c>
      <x:c r="H184" s="7" t="str"/>
      <x:c r="I184" s="7" t="n">
        <x:v>20</x:v>
      </x:c>
      <x:c r="J184" s="9" t="str">
        <x:v>PENDIENTE</x:v>
      </x:c>
      <x:c r="K184" s="10" t="n">
        <x:v>46888</x:v>
      </x:c>
      <x:c r="L184" s="7" t="str">
        <x:v>Avance 2028-05-15</x:v>
      </x:c>
      <x:c r="M184" s="8" t="str">
        <x:v>Validar aplicabilidad antes de remediar.</x:v>
      </x:c>
      <x:c r="N184" s="17"/>
      <x:c r="O184" s="17"/>
    </x:row>
    <x:row r="185" ht="15" hidden="0" customHeight="1">
      <x:c r="A185" s="7" t="str">
        <x:v>SIAJ-0040</x:v>
      </x:c>
      <x:c r="B185" s="7" t="str">
        <x:v>SAST</x:v>
      </x:c>
      <x:c r="C185" s="7" t="str">
        <x:v>MEDIUM</x:v>
      </x:c>
      <x:c r="D185" s="8" t="str">
        <x:v>Parameter_Tampering 25/196</x:v>
      </x:c>
      <x:c r="E185" s="7" t="str">
        <x:v>Código fuente Java</x:v>
      </x:c>
      <x:c r="F185" s="7" t="str"/>
      <x:c r="G185" s="7" t="str">
        <x:v>CWE-472</x:v>
      </x:c>
      <x:c r="H185" s="7" t="str"/>
      <x:c r="I185" s="7" t="n">
        <x:v>20</x:v>
      </x:c>
      <x:c r="J185" s="9" t="str">
        <x:v>PENDIENTE</x:v>
      </x:c>
      <x:c r="K185" s="10" t="n">
        <x:v>46888</x:v>
      </x:c>
      <x:c r="L185" s="7" t="str">
        <x:v>Avance 2028-05-15</x:v>
      </x:c>
      <x:c r="M185" s="8" t="str">
        <x:v>Validar aplicabilidad antes de remediar.</x:v>
      </x:c>
      <x:c r="N185" s="17"/>
      <x:c r="O185" s="17"/>
    </x:row>
    <x:row r="186" ht="15" hidden="0" customHeight="1">
      <x:c r="A186" s="7" t="str">
        <x:v>SIAJ-0041</x:v>
      </x:c>
      <x:c r="B186" s="7" t="str">
        <x:v>SAST</x:v>
      </x:c>
      <x:c r="C186" s="7" t="str">
        <x:v>MEDIUM</x:v>
      </x:c>
      <x:c r="D186" s="8" t="str">
        <x:v>Parameter_Tampering 26/196</x:v>
      </x:c>
      <x:c r="E186" s="7" t="str">
        <x:v>Código fuente Java</x:v>
      </x:c>
      <x:c r="F186" s="7" t="str"/>
      <x:c r="G186" s="7" t="str">
        <x:v>CWE-472</x:v>
      </x:c>
      <x:c r="H186" s="7" t="str"/>
      <x:c r="I186" s="7" t="n">
        <x:v>20</x:v>
      </x:c>
      <x:c r="J186" s="9" t="str">
        <x:v>PENDIENTE</x:v>
      </x:c>
      <x:c r="K186" s="10" t="n">
        <x:v>46888</x:v>
      </x:c>
      <x:c r="L186" s="7" t="str">
        <x:v>Avance 2028-05-15</x:v>
      </x:c>
      <x:c r="M186" s="8" t="str">
        <x:v>Validar aplicabilidad antes de remediar.</x:v>
      </x:c>
      <x:c r="N186" s="17"/>
      <x:c r="O186" s="17"/>
    </x:row>
    <x:row r="187" ht="15" hidden="0" customHeight="1">
      <x:c r="A187" s="7" t="str">
        <x:v>SIAJ-0042</x:v>
      </x:c>
      <x:c r="B187" s="7" t="str">
        <x:v>SAST</x:v>
      </x:c>
      <x:c r="C187" s="7" t="str">
        <x:v>MEDIUM</x:v>
      </x:c>
      <x:c r="D187" s="8" t="str">
        <x:v>Parameter_Tampering 27/196</x:v>
      </x:c>
      <x:c r="E187" s="7" t="str">
        <x:v>Código fuente Java</x:v>
      </x:c>
      <x:c r="F187" s="7" t="str"/>
      <x:c r="G187" s="7" t="str">
        <x:v>CWE-472</x:v>
      </x:c>
      <x:c r="H187" s="7" t="str"/>
      <x:c r="I187" s="7" t="n">
        <x:v>20</x:v>
      </x:c>
      <x:c r="J187" s="9" t="str">
        <x:v>PENDIENTE</x:v>
      </x:c>
      <x:c r="K187" s="10" t="n">
        <x:v>46888</x:v>
      </x:c>
      <x:c r="L187" s="7" t="str">
        <x:v>Avance 2028-05-15</x:v>
      </x:c>
      <x:c r="M187" s="8" t="str">
        <x:v>Validar aplicabilidad antes de remediar.</x:v>
      </x:c>
      <x:c r="N187" s="17"/>
      <x:c r="O187" s="17"/>
    </x:row>
    <x:row r="188" ht="15" hidden="0" customHeight="1">
      <x:c r="A188" s="7" t="str">
        <x:v>SIAJ-0043</x:v>
      </x:c>
      <x:c r="B188" s="7" t="str">
        <x:v>SAST</x:v>
      </x:c>
      <x:c r="C188" s="7" t="str">
        <x:v>MEDIUM</x:v>
      </x:c>
      <x:c r="D188" s="8" t="str">
        <x:v>Parameter_Tampering 28/196</x:v>
      </x:c>
      <x:c r="E188" s="7" t="str">
        <x:v>Código fuente Java</x:v>
      </x:c>
      <x:c r="F188" s="7" t="str"/>
      <x:c r="G188" s="7" t="str">
        <x:v>CWE-472</x:v>
      </x:c>
      <x:c r="H188" s="7" t="str"/>
      <x:c r="I188" s="7" t="n">
        <x:v>20</x:v>
      </x:c>
      <x:c r="J188" s="9" t="str">
        <x:v>PENDIENTE</x:v>
      </x:c>
      <x:c r="K188" s="10" t="n">
        <x:v>46888</x:v>
      </x:c>
      <x:c r="L188" s="7" t="str">
        <x:v>Avance 2028-05-15</x:v>
      </x:c>
      <x:c r="M188" s="8" t="str">
        <x:v>Validar aplicabilidad antes de remediar.</x:v>
      </x:c>
      <x:c r="N188" s="17"/>
      <x:c r="O188" s="17"/>
    </x:row>
    <x:row r="189" ht="15" hidden="0" customHeight="1">
      <x:c r="A189" s="7" t="str">
        <x:v>SIAJ-0044</x:v>
      </x:c>
      <x:c r="B189" s="7" t="str">
        <x:v>SAST</x:v>
      </x:c>
      <x:c r="C189" s="7" t="str">
        <x:v>MEDIUM</x:v>
      </x:c>
      <x:c r="D189" s="8" t="str">
        <x:v>Parameter_Tampering 29/196</x:v>
      </x:c>
      <x:c r="E189" s="7" t="str">
        <x:v>Código fuente Java</x:v>
      </x:c>
      <x:c r="F189" s="7" t="str"/>
      <x:c r="G189" s="7" t="str">
        <x:v>CWE-472</x:v>
      </x:c>
      <x:c r="H189" s="7" t="str"/>
      <x:c r="I189" s="7" t="n">
        <x:v>20</x:v>
      </x:c>
      <x:c r="J189" s="9" t="str">
        <x:v>PENDIENTE</x:v>
      </x:c>
      <x:c r="K189" s="10" t="n">
        <x:v>46888</x:v>
      </x:c>
      <x:c r="L189" s="7" t="str">
        <x:v>Avance 2028-05-15</x:v>
      </x:c>
      <x:c r="M189" s="8" t="str">
        <x:v>Validar aplicabilidad antes de remediar.</x:v>
      </x:c>
      <x:c r="N189" s="17"/>
      <x:c r="O189" s="17"/>
    </x:row>
    <x:row r="190" ht="15" hidden="0" customHeight="1">
      <x:c r="A190" s="7" t="str">
        <x:v>SIAJ-0018</x:v>
      </x:c>
      <x:c r="B190" s="7" t="str">
        <x:v>SAST</x:v>
      </x:c>
      <x:c r="C190" s="7" t="str">
        <x:v>MEDIUM</x:v>
      </x:c>
      <x:c r="D190" s="8" t="str">
        <x:v>Parameter_Tampering 3/196</x:v>
      </x:c>
      <x:c r="E190" s="7" t="str">
        <x:v>Código fuente Java</x:v>
      </x:c>
      <x:c r="F190" s="7" t="str"/>
      <x:c r="G190" s="7" t="str">
        <x:v>CWE-472</x:v>
      </x:c>
      <x:c r="H190" s="7" t="str"/>
      <x:c r="I190" s="7" t="n">
        <x:v>20</x:v>
      </x:c>
      <x:c r="J190" s="9" t="str">
        <x:v>PENDIENTE</x:v>
      </x:c>
      <x:c r="K190" s="10" t="n">
        <x:v>46888</x:v>
      </x:c>
      <x:c r="L190" s="7" t="str">
        <x:v>Avance 2028-05-15</x:v>
      </x:c>
      <x:c r="M190" s="8" t="str">
        <x:v>Validar aplicabilidad antes de remediar.</x:v>
      </x:c>
      <x:c r="N190" s="17"/>
      <x:c r="O190" s="17"/>
    </x:row>
    <x:row r="191" ht="15" hidden="0" customHeight="1">
      <x:c r="A191" s="7" t="str">
        <x:v>SIAJ-0045</x:v>
      </x:c>
      <x:c r="B191" s="7" t="str">
        <x:v>SAST</x:v>
      </x:c>
      <x:c r="C191" s="7" t="str">
        <x:v>MEDIUM</x:v>
      </x:c>
      <x:c r="D191" s="8" t="str">
        <x:v>Parameter_Tampering 30/196</x:v>
      </x:c>
      <x:c r="E191" s="7" t="str">
        <x:v>Código fuente Java</x:v>
      </x:c>
      <x:c r="F191" s="7" t="str"/>
      <x:c r="G191" s="7" t="str">
        <x:v>CWE-472</x:v>
      </x:c>
      <x:c r="H191" s="7" t="str"/>
      <x:c r="I191" s="7" t="n">
        <x:v>20</x:v>
      </x:c>
      <x:c r="J191" s="9" t="str">
        <x:v>PENDIENTE</x:v>
      </x:c>
      <x:c r="K191" s="10" t="n">
        <x:v>46888</x:v>
      </x:c>
      <x:c r="L191" s="7" t="str">
        <x:v>Avance 2028-05-15</x:v>
      </x:c>
      <x:c r="M191" s="8" t="str">
        <x:v>Validar aplicabilidad antes de remediar.</x:v>
      </x:c>
      <x:c r="N191" s="17"/>
      <x:c r="O191" s="17"/>
    </x:row>
    <x:row r="192" ht="15" hidden="0" customHeight="1">
      <x:c r="A192" s="7" t="str">
        <x:v>SIAJ-0046</x:v>
      </x:c>
      <x:c r="B192" s="7" t="str">
        <x:v>SAST</x:v>
      </x:c>
      <x:c r="C192" s="7" t="str">
        <x:v>MEDIUM</x:v>
      </x:c>
      <x:c r="D192" s="8" t="str">
        <x:v>Parameter_Tampering 31/196</x:v>
      </x:c>
      <x:c r="E192" s="7" t="str">
        <x:v>Código fuente Java</x:v>
      </x:c>
      <x:c r="F192" s="7" t="str"/>
      <x:c r="G192" s="7" t="str">
        <x:v>CWE-472</x:v>
      </x:c>
      <x:c r="H192" s="7" t="str"/>
      <x:c r="I192" s="7" t="n">
        <x:v>20</x:v>
      </x:c>
      <x:c r="J192" s="9" t="str">
        <x:v>PENDIENTE</x:v>
      </x:c>
      <x:c r="K192" s="10" t="n">
        <x:v>46888</x:v>
      </x:c>
      <x:c r="L192" s="7" t="str">
        <x:v>Avance 2028-05-15</x:v>
      </x:c>
      <x:c r="M192" s="8" t="str">
        <x:v>Validar aplicabilidad antes de remediar.</x:v>
      </x:c>
      <x:c r="N192" s="17"/>
      <x:c r="O192" s="17"/>
    </x:row>
    <x:row r="193" ht="15" hidden="0" customHeight="1">
      <x:c r="A193" s="7" t="str">
        <x:v>SIAJ-0047</x:v>
      </x:c>
      <x:c r="B193" s="7" t="str">
        <x:v>SAST</x:v>
      </x:c>
      <x:c r="C193" s="7" t="str">
        <x:v>MEDIUM</x:v>
      </x:c>
      <x:c r="D193" s="8" t="str">
        <x:v>Parameter_Tampering 32/196</x:v>
      </x:c>
      <x:c r="E193" s="7" t="str">
        <x:v>Código fuente Java</x:v>
      </x:c>
      <x:c r="F193" s="7" t="str"/>
      <x:c r="G193" s="7" t="str">
        <x:v>CWE-472</x:v>
      </x:c>
      <x:c r="H193" s="7" t="str"/>
      <x:c r="I193" s="7" t="n">
        <x:v>20</x:v>
      </x:c>
      <x:c r="J193" s="9" t="str">
        <x:v>PENDIENTE</x:v>
      </x:c>
      <x:c r="K193" s="10" t="n">
        <x:v>46888</x:v>
      </x:c>
      <x:c r="L193" s="7" t="str">
        <x:v>Avance 2028-05-15</x:v>
      </x:c>
      <x:c r="M193" s="8" t="str">
        <x:v>Validar aplicabilidad antes de remediar.</x:v>
      </x:c>
      <x:c r="N193" s="17"/>
      <x:c r="O193" s="17"/>
    </x:row>
    <x:row r="194" ht="15" hidden="0" customHeight="1">
      <x:c r="A194" s="7" t="str">
        <x:v>SIAJ-0048</x:v>
      </x:c>
      <x:c r="B194" s="7" t="str">
        <x:v>SAST</x:v>
      </x:c>
      <x:c r="C194" s="7" t="str">
        <x:v>MEDIUM</x:v>
      </x:c>
      <x:c r="D194" s="8" t="str">
        <x:v>Parameter_Tampering 33/196</x:v>
      </x:c>
      <x:c r="E194" s="7" t="str">
        <x:v>Código fuente Java</x:v>
      </x:c>
      <x:c r="F194" s="7" t="str"/>
      <x:c r="G194" s="7" t="str">
        <x:v>CWE-472</x:v>
      </x:c>
      <x:c r="H194" s="7" t="str"/>
      <x:c r="I194" s="7" t="n">
        <x:v>20</x:v>
      </x:c>
      <x:c r="J194" s="9" t="str">
        <x:v>PENDIENTE</x:v>
      </x:c>
      <x:c r="K194" s="10" t="n">
        <x:v>46888</x:v>
      </x:c>
      <x:c r="L194" s="7" t="str">
        <x:v>Avance 2028-05-15</x:v>
      </x:c>
      <x:c r="M194" s="8" t="str">
        <x:v>Validar aplicabilidad antes de remediar.</x:v>
      </x:c>
      <x:c r="N194" s="17"/>
      <x:c r="O194" s="17"/>
    </x:row>
    <x:row r="195" ht="15" hidden="0" customHeight="1">
      <x:c r="A195" s="7" t="str">
        <x:v>SIAJ-0049</x:v>
      </x:c>
      <x:c r="B195" s="7" t="str">
        <x:v>SAST</x:v>
      </x:c>
      <x:c r="C195" s="7" t="str">
        <x:v>MEDIUM</x:v>
      </x:c>
      <x:c r="D195" s="8" t="str">
        <x:v>Parameter_Tampering 34/196</x:v>
      </x:c>
      <x:c r="E195" s="7" t="str">
        <x:v>Código fuente Java</x:v>
      </x:c>
      <x:c r="F195" s="7" t="str"/>
      <x:c r="G195" s="7" t="str">
        <x:v>CWE-472</x:v>
      </x:c>
      <x:c r="H195" s="7" t="str"/>
      <x:c r="I195" s="7" t="n">
        <x:v>20</x:v>
      </x:c>
      <x:c r="J195" s="9" t="str">
        <x:v>PENDIENTE</x:v>
      </x:c>
      <x:c r="K195" s="10" t="n">
        <x:v>46888</x:v>
      </x:c>
      <x:c r="L195" s="7" t="str">
        <x:v>Avance 2028-05-15</x:v>
      </x:c>
      <x:c r="M195" s="8" t="str">
        <x:v>Validar aplicabilidad antes de remediar.</x:v>
      </x:c>
      <x:c r="N195" s="17"/>
      <x:c r="O195" s="17"/>
    </x:row>
    <x:row r="196" ht="15" hidden="0" customHeight="1">
      <x:c r="A196" s="7" t="str">
        <x:v>SIAJ-0050</x:v>
      </x:c>
      <x:c r="B196" s="7" t="str">
        <x:v>SAST</x:v>
      </x:c>
      <x:c r="C196" s="7" t="str">
        <x:v>MEDIUM</x:v>
      </x:c>
      <x:c r="D196" s="8" t="str">
        <x:v>Parameter_Tampering 35/196</x:v>
      </x:c>
      <x:c r="E196" s="7" t="str">
        <x:v>Código fuente Java</x:v>
      </x:c>
      <x:c r="F196" s="7" t="str"/>
      <x:c r="G196" s="7" t="str">
        <x:v>CWE-472</x:v>
      </x:c>
      <x:c r="H196" s="7" t="str"/>
      <x:c r="I196" s="7" t="n">
        <x:v>20</x:v>
      </x:c>
      <x:c r="J196" s="9" t="str">
        <x:v>PENDIENTE</x:v>
      </x:c>
      <x:c r="K196" s="10" t="n">
        <x:v>46888</x:v>
      </x:c>
      <x:c r="L196" s="7" t="str">
        <x:v>Avance 2028-05-15</x:v>
      </x:c>
      <x:c r="M196" s="8" t="str">
        <x:v>Validar aplicabilidad antes de remediar.</x:v>
      </x:c>
      <x:c r="N196" s="17"/>
      <x:c r="O196" s="17"/>
    </x:row>
    <x:row r="197" ht="15" hidden="0" customHeight="1">
      <x:c r="A197" s="7" t="str">
        <x:v>SIAJ-0051</x:v>
      </x:c>
      <x:c r="B197" s="7" t="str">
        <x:v>SAST</x:v>
      </x:c>
      <x:c r="C197" s="7" t="str">
        <x:v>MEDIUM</x:v>
      </x:c>
      <x:c r="D197" s="8" t="str">
        <x:v>Parameter_Tampering 36/196</x:v>
      </x:c>
      <x:c r="E197" s="7" t="str">
        <x:v>Código fuente Java</x:v>
      </x:c>
      <x:c r="F197" s="7" t="str"/>
      <x:c r="G197" s="7" t="str">
        <x:v>CWE-472</x:v>
      </x:c>
      <x:c r="H197" s="7" t="str"/>
      <x:c r="I197" s="7" t="n">
        <x:v>20</x:v>
      </x:c>
      <x:c r="J197" s="9" t="str">
        <x:v>PENDIENTE</x:v>
      </x:c>
      <x:c r="K197" s="10" t="n">
        <x:v>46919</x:v>
      </x:c>
      <x:c r="L197" s="7" t="str">
        <x:v>Avance 2028-06-15</x:v>
      </x:c>
      <x:c r="M197" s="8" t="str">
        <x:v>Validar aplicabilidad antes de remediar.</x:v>
      </x:c>
      <x:c r="N197" s="17"/>
      <x:c r="O197" s="17"/>
    </x:row>
    <x:row r="198" ht="15" hidden="0" customHeight="1">
      <x:c r="A198" s="7" t="str">
        <x:v>SIAJ-0052</x:v>
      </x:c>
      <x:c r="B198" s="7" t="str">
        <x:v>SAST</x:v>
      </x:c>
      <x:c r="C198" s="7" t="str">
        <x:v>MEDIUM</x:v>
      </x:c>
      <x:c r="D198" s="8" t="str">
        <x:v>Parameter_Tampering 37/196</x:v>
      </x:c>
      <x:c r="E198" s="7" t="str">
        <x:v>Código fuente Java</x:v>
      </x:c>
      <x:c r="F198" s="7" t="str"/>
      <x:c r="G198" s="7" t="str">
        <x:v>CWE-472</x:v>
      </x:c>
      <x:c r="H198" s="7" t="str"/>
      <x:c r="I198" s="7" t="n">
        <x:v>20</x:v>
      </x:c>
      <x:c r="J198" s="9" t="str">
        <x:v>PENDIENTE</x:v>
      </x:c>
      <x:c r="K198" s="10" t="n">
        <x:v>46919</x:v>
      </x:c>
      <x:c r="L198" s="7" t="str">
        <x:v>Avance 2028-06-15</x:v>
      </x:c>
      <x:c r="M198" s="8" t="str">
        <x:v>Validar aplicabilidad antes de remediar.</x:v>
      </x:c>
      <x:c r="N198" s="17"/>
      <x:c r="O198" s="17"/>
    </x:row>
    <x:row r="199" ht="15" hidden="0" customHeight="1">
      <x:c r="A199" s="7" t="str">
        <x:v>SIAJ-0053</x:v>
      </x:c>
      <x:c r="B199" s="7" t="str">
        <x:v>SAST</x:v>
      </x:c>
      <x:c r="C199" s="7" t="str">
        <x:v>MEDIUM</x:v>
      </x:c>
      <x:c r="D199" s="8" t="str">
        <x:v>Parameter_Tampering 38/196</x:v>
      </x:c>
      <x:c r="E199" s="7" t="str">
        <x:v>Código fuente Java</x:v>
      </x:c>
      <x:c r="F199" s="7" t="str"/>
      <x:c r="G199" s="7" t="str">
        <x:v>CWE-472</x:v>
      </x:c>
      <x:c r="H199" s="7" t="str"/>
      <x:c r="I199" s="7" t="n">
        <x:v>20</x:v>
      </x:c>
      <x:c r="J199" s="9" t="str">
        <x:v>PENDIENTE</x:v>
      </x:c>
      <x:c r="K199" s="10" t="n">
        <x:v>46919</x:v>
      </x:c>
      <x:c r="L199" s="7" t="str">
        <x:v>Avance 2028-06-15</x:v>
      </x:c>
      <x:c r="M199" s="8" t="str">
        <x:v>Validar aplicabilidad antes de remediar.</x:v>
      </x:c>
      <x:c r="N199" s="17"/>
      <x:c r="O199" s="17"/>
    </x:row>
    <x:row r="200" ht="15" hidden="0" customHeight="1">
      <x:c r="A200" s="7" t="str">
        <x:v>SIAJ-0054</x:v>
      </x:c>
      <x:c r="B200" s="7" t="str">
        <x:v>SAST</x:v>
      </x:c>
      <x:c r="C200" s="7" t="str">
        <x:v>MEDIUM</x:v>
      </x:c>
      <x:c r="D200" s="8" t="str">
        <x:v>Parameter_Tampering 39/196</x:v>
      </x:c>
      <x:c r="E200" s="7" t="str">
        <x:v>Código fuente Java</x:v>
      </x:c>
      <x:c r="F200" s="7" t="str"/>
      <x:c r="G200" s="7" t="str">
        <x:v>CWE-472</x:v>
      </x:c>
      <x:c r="H200" s="7" t="str"/>
      <x:c r="I200" s="7" t="n">
        <x:v>20</x:v>
      </x:c>
      <x:c r="J200" s="9" t="str">
        <x:v>PENDIENTE</x:v>
      </x:c>
      <x:c r="K200" s="10" t="n">
        <x:v>46919</x:v>
      </x:c>
      <x:c r="L200" s="7" t="str">
        <x:v>Avance 2028-06-15</x:v>
      </x:c>
      <x:c r="M200" s="8" t="str">
        <x:v>Validar aplicabilidad antes de remediar.</x:v>
      </x:c>
      <x:c r="N200" s="17"/>
      <x:c r="O200" s="17"/>
    </x:row>
    <x:row r="201" ht="15" hidden="0" customHeight="1">
      <x:c r="A201" s="7" t="str">
        <x:v>SIAJ-0019</x:v>
      </x:c>
      <x:c r="B201" s="7" t="str">
        <x:v>SAST</x:v>
      </x:c>
      <x:c r="C201" s="7" t="str">
        <x:v>MEDIUM</x:v>
      </x:c>
      <x:c r="D201" s="8" t="str">
        <x:v>Parameter_Tampering 4/196</x:v>
      </x:c>
      <x:c r="E201" s="7" t="str">
        <x:v>Código fuente Java</x:v>
      </x:c>
      <x:c r="F201" s="7" t="str"/>
      <x:c r="G201" s="7" t="str">
        <x:v>CWE-472</x:v>
      </x:c>
      <x:c r="H201" s="7" t="str"/>
      <x:c r="I201" s="7" t="n">
        <x:v>20</x:v>
      </x:c>
      <x:c r="J201" s="9" t="str">
        <x:v>PENDIENTE</x:v>
      </x:c>
      <x:c r="K201" s="10" t="n">
        <x:v>46919</x:v>
      </x:c>
      <x:c r="L201" s="7" t="str">
        <x:v>Avance 2028-06-15</x:v>
      </x:c>
      <x:c r="M201" s="8" t="str">
        <x:v>Validar aplicabilidad antes de remediar.</x:v>
      </x:c>
      <x:c r="N201" s="17"/>
      <x:c r="O201" s="17"/>
    </x:row>
    <x:row r="202" ht="15" hidden="0" customHeight="1">
      <x:c r="A202" s="7" t="str">
        <x:v>SIAJ-0055</x:v>
      </x:c>
      <x:c r="B202" s="7" t="str">
        <x:v>SAST</x:v>
      </x:c>
      <x:c r="C202" s="7" t="str">
        <x:v>MEDIUM</x:v>
      </x:c>
      <x:c r="D202" s="8" t="str">
        <x:v>Parameter_Tampering 40/196</x:v>
      </x:c>
      <x:c r="E202" s="7" t="str">
        <x:v>Código fuente Java</x:v>
      </x:c>
      <x:c r="F202" s="7" t="str"/>
      <x:c r="G202" s="7" t="str">
        <x:v>CWE-472</x:v>
      </x:c>
      <x:c r="H202" s="7" t="str"/>
      <x:c r="I202" s="7" t="n">
        <x:v>20</x:v>
      </x:c>
      <x:c r="J202" s="9" t="str">
        <x:v>PENDIENTE</x:v>
      </x:c>
      <x:c r="K202" s="10" t="n">
        <x:v>46919</x:v>
      </x:c>
      <x:c r="L202" s="7" t="str">
        <x:v>Avance 2028-06-15</x:v>
      </x:c>
      <x:c r="M202" s="8" t="str">
        <x:v>Validar aplicabilidad antes de remediar.</x:v>
      </x:c>
      <x:c r="N202" s="17"/>
      <x:c r="O202" s="17"/>
    </x:row>
    <x:row r="203" ht="15" hidden="0" customHeight="1">
      <x:c r="A203" s="7" t="str">
        <x:v>SIAJ-0056</x:v>
      </x:c>
      <x:c r="B203" s="7" t="str">
        <x:v>SAST</x:v>
      </x:c>
      <x:c r="C203" s="7" t="str">
        <x:v>MEDIUM</x:v>
      </x:c>
      <x:c r="D203" s="8" t="str">
        <x:v>Parameter_Tampering 41/196</x:v>
      </x:c>
      <x:c r="E203" s="7" t="str">
        <x:v>Código fuente Java</x:v>
      </x:c>
      <x:c r="F203" s="7" t="str"/>
      <x:c r="G203" s="7" t="str">
        <x:v>CWE-472</x:v>
      </x:c>
      <x:c r="H203" s="7" t="str"/>
      <x:c r="I203" s="7" t="n">
        <x:v>20</x:v>
      </x:c>
      <x:c r="J203" s="9" t="str">
        <x:v>PENDIENTE</x:v>
      </x:c>
      <x:c r="K203" s="10" t="n">
        <x:v>46919</x:v>
      </x:c>
      <x:c r="L203" s="7" t="str">
        <x:v>Avance 2028-06-15</x:v>
      </x:c>
      <x:c r="M203" s="8" t="str">
        <x:v>Validar aplicabilidad antes de remediar.</x:v>
      </x:c>
      <x:c r="N203" s="17"/>
      <x:c r="O203" s="17"/>
    </x:row>
    <x:row r="204" ht="15" hidden="0" customHeight="1">
      <x:c r="A204" s="7" t="str">
        <x:v>SIAJ-0057</x:v>
      </x:c>
      <x:c r="B204" s="7" t="str">
        <x:v>SAST</x:v>
      </x:c>
      <x:c r="C204" s="7" t="str">
        <x:v>MEDIUM</x:v>
      </x:c>
      <x:c r="D204" s="8" t="str">
        <x:v>Parameter_Tampering 42/196</x:v>
      </x:c>
      <x:c r="E204" s="7" t="str">
        <x:v>Código fuente Java</x:v>
      </x:c>
      <x:c r="F204" s="7" t="str"/>
      <x:c r="G204" s="7" t="str">
        <x:v>CWE-472</x:v>
      </x:c>
      <x:c r="H204" s="7" t="str"/>
      <x:c r="I204" s="7" t="n">
        <x:v>20</x:v>
      </x:c>
      <x:c r="J204" s="9" t="str">
        <x:v>PENDIENTE</x:v>
      </x:c>
      <x:c r="K204" s="10" t="n">
        <x:v>46919</x:v>
      </x:c>
      <x:c r="L204" s="7" t="str">
        <x:v>Avance 2028-06-15</x:v>
      </x:c>
      <x:c r="M204" s="8" t="str">
        <x:v>Validar aplicabilidad antes de remediar.</x:v>
      </x:c>
      <x:c r="N204" s="17"/>
      <x:c r="O204" s="17"/>
    </x:row>
    <x:row r="205" ht="15" hidden="0" customHeight="1">
      <x:c r="A205" s="7" t="str">
        <x:v>SIAJ-0058</x:v>
      </x:c>
      <x:c r="B205" s="7" t="str">
        <x:v>SAST</x:v>
      </x:c>
      <x:c r="C205" s="7" t="str">
        <x:v>MEDIUM</x:v>
      </x:c>
      <x:c r="D205" s="8" t="str">
        <x:v>Parameter_Tampering 43/196</x:v>
      </x:c>
      <x:c r="E205" s="7" t="str">
        <x:v>Código fuente Java</x:v>
      </x:c>
      <x:c r="F205" s="7" t="str"/>
      <x:c r="G205" s="7" t="str">
        <x:v>CWE-472</x:v>
      </x:c>
      <x:c r="H205" s="7" t="str"/>
      <x:c r="I205" s="7" t="n">
        <x:v>20</x:v>
      </x:c>
      <x:c r="J205" s="9" t="str">
        <x:v>PENDIENTE</x:v>
      </x:c>
      <x:c r="K205" s="10" t="n">
        <x:v>46919</x:v>
      </x:c>
      <x:c r="L205" s="7" t="str">
        <x:v>Avance 2028-06-15</x:v>
      </x:c>
      <x:c r="M205" s="8" t="str">
        <x:v>Validar aplicabilidad antes de remediar.</x:v>
      </x:c>
      <x:c r="N205" s="17"/>
      <x:c r="O205" s="17"/>
    </x:row>
    <x:row r="206" ht="15" hidden="0" customHeight="1">
      <x:c r="A206" s="7" t="str">
        <x:v>SIAJ-0059</x:v>
      </x:c>
      <x:c r="B206" s="7" t="str">
        <x:v>SAST</x:v>
      </x:c>
      <x:c r="C206" s="7" t="str">
        <x:v>MEDIUM</x:v>
      </x:c>
      <x:c r="D206" s="8" t="str">
        <x:v>Parameter_Tampering 44/196</x:v>
      </x:c>
      <x:c r="E206" s="7" t="str">
        <x:v>Código fuente Java</x:v>
      </x:c>
      <x:c r="F206" s="7" t="str"/>
      <x:c r="G206" s="7" t="str">
        <x:v>CWE-472</x:v>
      </x:c>
      <x:c r="H206" s="7" t="str"/>
      <x:c r="I206" s="7" t="n">
        <x:v>20</x:v>
      </x:c>
      <x:c r="J206" s="9" t="str">
        <x:v>PENDIENTE</x:v>
      </x:c>
      <x:c r="K206" s="10" t="n">
        <x:v>46919</x:v>
      </x:c>
      <x:c r="L206" s="7" t="str">
        <x:v>Avance 2028-06-15</x:v>
      </x:c>
      <x:c r="M206" s="8" t="str">
        <x:v>Validar aplicabilidad antes de remediar.</x:v>
      </x:c>
      <x:c r="N206" s="17"/>
      <x:c r="O206" s="17"/>
    </x:row>
    <x:row r="207" ht="15" hidden="0" customHeight="1">
      <x:c r="A207" s="7" t="str">
        <x:v>SIAJ-0060</x:v>
      </x:c>
      <x:c r="B207" s="7" t="str">
        <x:v>SAST</x:v>
      </x:c>
      <x:c r="C207" s="7" t="str">
        <x:v>MEDIUM</x:v>
      </x:c>
      <x:c r="D207" s="8" t="str">
        <x:v>Parameter_Tampering 45/196</x:v>
      </x:c>
      <x:c r="E207" s="7" t="str">
        <x:v>Código fuente Java</x:v>
      </x:c>
      <x:c r="F207" s="7" t="str"/>
      <x:c r="G207" s="7" t="str">
        <x:v>CWE-472</x:v>
      </x:c>
      <x:c r="H207" s="7" t="str"/>
      <x:c r="I207" s="7" t="n">
        <x:v>20</x:v>
      </x:c>
      <x:c r="J207" s="9" t="str">
        <x:v>PENDIENTE</x:v>
      </x:c>
      <x:c r="K207" s="10" t="n">
        <x:v>46919</x:v>
      </x:c>
      <x:c r="L207" s="7" t="str">
        <x:v>Avance 2028-06-15</x:v>
      </x:c>
      <x:c r="M207" s="8" t="str">
        <x:v>Validar aplicabilidad antes de remediar.</x:v>
      </x:c>
      <x:c r="N207" s="17"/>
      <x:c r="O207" s="17"/>
    </x:row>
    <x:row r="208" ht="15" hidden="0" customHeight="1">
      <x:c r="A208" s="7" t="str">
        <x:v>SIAJ-0061</x:v>
      </x:c>
      <x:c r="B208" s="7" t="str">
        <x:v>SAST</x:v>
      </x:c>
      <x:c r="C208" s="7" t="str">
        <x:v>MEDIUM</x:v>
      </x:c>
      <x:c r="D208" s="8" t="str">
        <x:v>Parameter_Tampering 46/196</x:v>
      </x:c>
      <x:c r="E208" s="7" t="str">
        <x:v>Código fuente Java</x:v>
      </x:c>
      <x:c r="F208" s="7" t="str"/>
      <x:c r="G208" s="7" t="str">
        <x:v>CWE-472</x:v>
      </x:c>
      <x:c r="H208" s="7" t="str"/>
      <x:c r="I208" s="7" t="n">
        <x:v>20</x:v>
      </x:c>
      <x:c r="J208" s="9" t="str">
        <x:v>PENDIENTE</x:v>
      </x:c>
      <x:c r="K208" s="10" t="n">
        <x:v>46919</x:v>
      </x:c>
      <x:c r="L208" s="7" t="str">
        <x:v>Avance 2028-06-15</x:v>
      </x:c>
      <x:c r="M208" s="8" t="str">
        <x:v>Validar aplicabilidad antes de remediar.</x:v>
      </x:c>
      <x:c r="N208" s="17"/>
      <x:c r="O208" s="17"/>
    </x:row>
    <x:row r="209" ht="15" hidden="0" customHeight="1">
      <x:c r="A209" s="7" t="str">
        <x:v>SIAJ-0062</x:v>
      </x:c>
      <x:c r="B209" s="7" t="str">
        <x:v>SAST</x:v>
      </x:c>
      <x:c r="C209" s="7" t="str">
        <x:v>MEDIUM</x:v>
      </x:c>
      <x:c r="D209" s="8" t="str">
        <x:v>Parameter_Tampering 47/196</x:v>
      </x:c>
      <x:c r="E209" s="7" t="str">
        <x:v>Código fuente Java</x:v>
      </x:c>
      <x:c r="F209" s="7" t="str"/>
      <x:c r="G209" s="7" t="str">
        <x:v>CWE-472</x:v>
      </x:c>
      <x:c r="H209" s="7" t="str"/>
      <x:c r="I209" s="7" t="n">
        <x:v>20</x:v>
      </x:c>
      <x:c r="J209" s="9" t="str">
        <x:v>PENDIENTE</x:v>
      </x:c>
      <x:c r="K209" s="10" t="n">
        <x:v>46919</x:v>
      </x:c>
      <x:c r="L209" s="7" t="str">
        <x:v>Avance 2028-06-15</x:v>
      </x:c>
      <x:c r="M209" s="8" t="str">
        <x:v>Validar aplicabilidad antes de remediar.</x:v>
      </x:c>
      <x:c r="N209" s="17"/>
      <x:c r="O209" s="17"/>
    </x:row>
    <x:row r="210" ht="15" hidden="0" customHeight="1">
      <x:c r="A210" s="7" t="str">
        <x:v>SIAJ-0063</x:v>
      </x:c>
      <x:c r="B210" s="7" t="str">
        <x:v>SAST</x:v>
      </x:c>
      <x:c r="C210" s="7" t="str">
        <x:v>MEDIUM</x:v>
      </x:c>
      <x:c r="D210" s="8" t="str">
        <x:v>Parameter_Tampering 48/196</x:v>
      </x:c>
      <x:c r="E210" s="7" t="str">
        <x:v>Código fuente Java</x:v>
      </x:c>
      <x:c r="F210" s="7" t="str"/>
      <x:c r="G210" s="7" t="str">
        <x:v>CWE-472</x:v>
      </x:c>
      <x:c r="H210" s="7" t="str"/>
      <x:c r="I210" s="7" t="n">
        <x:v>20</x:v>
      </x:c>
      <x:c r="J210" s="9" t="str">
        <x:v>PENDIENTE</x:v>
      </x:c>
      <x:c r="K210" s="10" t="n">
        <x:v>46919</x:v>
      </x:c>
      <x:c r="L210" s="7" t="str">
        <x:v>Avance 2028-06-15</x:v>
      </x:c>
      <x:c r="M210" s="8" t="str">
        <x:v>Validar aplicabilidad antes de remediar.</x:v>
      </x:c>
      <x:c r="N210" s="17"/>
      <x:c r="O210" s="17"/>
    </x:row>
    <x:row r="211" ht="15" hidden="0" customHeight="1">
      <x:c r="A211" s="7" t="str">
        <x:v>SIAJ-0064</x:v>
      </x:c>
      <x:c r="B211" s="7" t="str">
        <x:v>SAST</x:v>
      </x:c>
      <x:c r="C211" s="7" t="str">
        <x:v>MEDIUM</x:v>
      </x:c>
      <x:c r="D211" s="8" t="str">
        <x:v>Parameter_Tampering 49/196</x:v>
      </x:c>
      <x:c r="E211" s="7" t="str">
        <x:v>Código fuente Java</x:v>
      </x:c>
      <x:c r="F211" s="7" t="str"/>
      <x:c r="G211" s="7" t="str">
        <x:v>CWE-472</x:v>
      </x:c>
      <x:c r="H211" s="7" t="str"/>
      <x:c r="I211" s="7" t="n">
        <x:v>20</x:v>
      </x:c>
      <x:c r="J211" s="9" t="str">
        <x:v>PENDIENTE</x:v>
      </x:c>
      <x:c r="K211" s="10" t="n">
        <x:v>46919</x:v>
      </x:c>
      <x:c r="L211" s="7" t="str">
        <x:v>Avance 2028-06-15</x:v>
      </x:c>
      <x:c r="M211" s="8" t="str">
        <x:v>Validar aplicabilidad antes de remediar.</x:v>
      </x:c>
      <x:c r="N211" s="17"/>
      <x:c r="O211" s="17"/>
    </x:row>
    <x:row r="212" ht="15" hidden="0" customHeight="1">
      <x:c r="A212" s="7" t="str">
        <x:v>SIAJ-0020</x:v>
      </x:c>
      <x:c r="B212" s="7" t="str">
        <x:v>SAST</x:v>
      </x:c>
      <x:c r="C212" s="7" t="str">
        <x:v>MEDIUM</x:v>
      </x:c>
      <x:c r="D212" s="8" t="str">
        <x:v>Parameter_Tampering 5/196</x:v>
      </x:c>
      <x:c r="E212" s="7" t="str">
        <x:v>Código fuente Java</x:v>
      </x:c>
      <x:c r="F212" s="7" t="str"/>
      <x:c r="G212" s="7" t="str">
        <x:v>CWE-472</x:v>
      </x:c>
      <x:c r="H212" s="7" t="str"/>
      <x:c r="I212" s="7" t="n">
        <x:v>20</x:v>
      </x:c>
      <x:c r="J212" s="9" t="str">
        <x:v>PENDIENTE</x:v>
      </x:c>
      <x:c r="K212" s="10" t="n">
        <x:v>46919</x:v>
      </x:c>
      <x:c r="L212" s="7" t="str">
        <x:v>Avance 2028-06-15</x:v>
      </x:c>
      <x:c r="M212" s="8" t="str">
        <x:v>Validar aplicabilidad antes de remediar.</x:v>
      </x:c>
      <x:c r="N212" s="17"/>
      <x:c r="O212" s="17"/>
    </x:row>
    <x:row r="213" ht="15" hidden="0" customHeight="1">
      <x:c r="A213" s="7" t="str">
        <x:v>SIAJ-0065</x:v>
      </x:c>
      <x:c r="B213" s="7" t="str">
        <x:v>SAST</x:v>
      </x:c>
      <x:c r="C213" s="7" t="str">
        <x:v>MEDIUM</x:v>
      </x:c>
      <x:c r="D213" s="8" t="str">
        <x:v>Parameter_Tampering 50/196</x:v>
      </x:c>
      <x:c r="E213" s="7" t="str">
        <x:v>Código fuente Java</x:v>
      </x:c>
      <x:c r="F213" s="7" t="str"/>
      <x:c r="G213" s="7" t="str">
        <x:v>CWE-472</x:v>
      </x:c>
      <x:c r="H213" s="7" t="str"/>
      <x:c r="I213" s="7" t="n">
        <x:v>20</x:v>
      </x:c>
      <x:c r="J213" s="9" t="str">
        <x:v>PENDIENTE</x:v>
      </x:c>
      <x:c r="K213" s="10" t="n">
        <x:v>46919</x:v>
      </x:c>
      <x:c r="L213" s="7" t="str">
        <x:v>Avance 2028-06-15</x:v>
      </x:c>
      <x:c r="M213" s="8" t="str">
        <x:v>Validar aplicabilidad antes de remediar.</x:v>
      </x:c>
      <x:c r="N213" s="17"/>
      <x:c r="O213" s="17"/>
    </x:row>
    <x:row r="214" ht="15" hidden="0" customHeight="1">
      <x:c r="A214" s="7" t="str">
        <x:v>SIAJ-0066</x:v>
      </x:c>
      <x:c r="B214" s="7" t="str">
        <x:v>SAST</x:v>
      </x:c>
      <x:c r="C214" s="7" t="str">
        <x:v>MEDIUM</x:v>
      </x:c>
      <x:c r="D214" s="8" t="str">
        <x:v>Parameter_Tampering 51/196</x:v>
      </x:c>
      <x:c r="E214" s="7" t="str">
        <x:v>Código fuente Java</x:v>
      </x:c>
      <x:c r="F214" s="7" t="str"/>
      <x:c r="G214" s="7" t="str">
        <x:v>CWE-472</x:v>
      </x:c>
      <x:c r="H214" s="7" t="str"/>
      <x:c r="I214" s="7" t="n">
        <x:v>20</x:v>
      </x:c>
      <x:c r="J214" s="9" t="str">
        <x:v>PENDIENTE</x:v>
      </x:c>
      <x:c r="K214" s="10" t="n">
        <x:v>46919</x:v>
      </x:c>
      <x:c r="L214" s="7" t="str">
        <x:v>Avance 2028-06-15</x:v>
      </x:c>
      <x:c r="M214" s="8" t="str">
        <x:v>Validar aplicabilidad antes de remediar.</x:v>
      </x:c>
      <x:c r="N214" s="17"/>
      <x:c r="O214" s="17"/>
    </x:row>
    <x:row r="215" ht="15" hidden="0" customHeight="1">
      <x:c r="A215" s="7" t="str">
        <x:v>SIAJ-0067</x:v>
      </x:c>
      <x:c r="B215" s="7" t="str">
        <x:v>SAST</x:v>
      </x:c>
      <x:c r="C215" s="7" t="str">
        <x:v>MEDIUM</x:v>
      </x:c>
      <x:c r="D215" s="8" t="str">
        <x:v>Parameter_Tampering 52/196</x:v>
      </x:c>
      <x:c r="E215" s="7" t="str">
        <x:v>Código fuente Java</x:v>
      </x:c>
      <x:c r="F215" s="7" t="str"/>
      <x:c r="G215" s="7" t="str">
        <x:v>CWE-472</x:v>
      </x:c>
      <x:c r="H215" s="7" t="str"/>
      <x:c r="I215" s="7" t="n">
        <x:v>20</x:v>
      </x:c>
      <x:c r="J215" s="9" t="str">
        <x:v>PENDIENTE</x:v>
      </x:c>
      <x:c r="K215" s="10" t="n">
        <x:v>46949</x:v>
      </x:c>
      <x:c r="L215" s="7" t="str">
        <x:v>Avance 2028-07-15</x:v>
      </x:c>
      <x:c r="M215" s="8" t="str">
        <x:v>Validar aplicabilidad antes de remediar.</x:v>
      </x:c>
      <x:c r="N215" s="17"/>
      <x:c r="O215" s="17"/>
    </x:row>
    <x:row r="216" ht="15" hidden="0" customHeight="1">
      <x:c r="A216" s="7" t="str">
        <x:v>SIAJ-0068</x:v>
      </x:c>
      <x:c r="B216" s="7" t="str">
        <x:v>SAST</x:v>
      </x:c>
      <x:c r="C216" s="7" t="str">
        <x:v>MEDIUM</x:v>
      </x:c>
      <x:c r="D216" s="8" t="str">
        <x:v>Parameter_Tampering 53/196</x:v>
      </x:c>
      <x:c r="E216" s="7" t="str">
        <x:v>Código fuente Java</x:v>
      </x:c>
      <x:c r="F216" s="7" t="str"/>
      <x:c r="G216" s="7" t="str">
        <x:v>CWE-472</x:v>
      </x:c>
      <x:c r="H216" s="7" t="str"/>
      <x:c r="I216" s="7" t="n">
        <x:v>20</x:v>
      </x:c>
      <x:c r="J216" s="9" t="str">
        <x:v>PENDIENTE</x:v>
      </x:c>
      <x:c r="K216" s="10" t="n">
        <x:v>46949</x:v>
      </x:c>
      <x:c r="L216" s="7" t="str">
        <x:v>Avance 2028-07-15</x:v>
      </x:c>
      <x:c r="M216" s="8" t="str">
        <x:v>Validar aplicabilidad antes de remediar.</x:v>
      </x:c>
      <x:c r="N216" s="17"/>
      <x:c r="O216" s="17"/>
    </x:row>
    <x:row r="217" ht="15" hidden="0" customHeight="1">
      <x:c r="A217" s="7" t="str">
        <x:v>SIAJ-0069</x:v>
      </x:c>
      <x:c r="B217" s="7" t="str">
        <x:v>SAST</x:v>
      </x:c>
      <x:c r="C217" s="7" t="str">
        <x:v>MEDIUM</x:v>
      </x:c>
      <x:c r="D217" s="8" t="str">
        <x:v>Parameter_Tampering 54/196</x:v>
      </x:c>
      <x:c r="E217" s="7" t="str">
        <x:v>Código fuente Java</x:v>
      </x:c>
      <x:c r="F217" s="7" t="str"/>
      <x:c r="G217" s="7" t="str">
        <x:v>CWE-472</x:v>
      </x:c>
      <x:c r="H217" s="7" t="str"/>
      <x:c r="I217" s="7" t="n">
        <x:v>20</x:v>
      </x:c>
      <x:c r="J217" s="9" t="str">
        <x:v>PENDIENTE</x:v>
      </x:c>
      <x:c r="K217" s="10" t="n">
        <x:v>46949</x:v>
      </x:c>
      <x:c r="L217" s="7" t="str">
        <x:v>Avance 2028-07-15</x:v>
      </x:c>
      <x:c r="M217" s="8" t="str">
        <x:v>Validar aplicabilidad antes de remediar.</x:v>
      </x:c>
      <x:c r="N217" s="17"/>
      <x:c r="O217" s="17"/>
    </x:row>
    <x:row r="218" ht="15" hidden="0" customHeight="1">
      <x:c r="A218" s="7" t="str">
        <x:v>SIAJ-0070</x:v>
      </x:c>
      <x:c r="B218" s="7" t="str">
        <x:v>SAST</x:v>
      </x:c>
      <x:c r="C218" s="7" t="str">
        <x:v>MEDIUM</x:v>
      </x:c>
      <x:c r="D218" s="8" t="str">
        <x:v>Parameter_Tampering 55/196</x:v>
      </x:c>
      <x:c r="E218" s="7" t="str">
        <x:v>Código fuente Java</x:v>
      </x:c>
      <x:c r="F218" s="7" t="str"/>
      <x:c r="G218" s="7" t="str">
        <x:v>CWE-472</x:v>
      </x:c>
      <x:c r="H218" s="7" t="str"/>
      <x:c r="I218" s="7" t="n">
        <x:v>20</x:v>
      </x:c>
      <x:c r="J218" s="9" t="str">
        <x:v>PENDIENTE</x:v>
      </x:c>
      <x:c r="K218" s="10" t="n">
        <x:v>46949</x:v>
      </x:c>
      <x:c r="L218" s="7" t="str">
        <x:v>Avance 2028-07-15</x:v>
      </x:c>
      <x:c r="M218" s="8" t="str">
        <x:v>Validar aplicabilidad antes de remediar.</x:v>
      </x:c>
      <x:c r="N218" s="17"/>
      <x:c r="O218" s="17"/>
    </x:row>
    <x:row r="219" ht="15" hidden="0" customHeight="1">
      <x:c r="A219" s="7" t="str">
        <x:v>SIAJ-0071</x:v>
      </x:c>
      <x:c r="B219" s="7" t="str">
        <x:v>SAST</x:v>
      </x:c>
      <x:c r="C219" s="7" t="str">
        <x:v>MEDIUM</x:v>
      </x:c>
      <x:c r="D219" s="8" t="str">
        <x:v>Parameter_Tampering 56/196</x:v>
      </x:c>
      <x:c r="E219" s="7" t="str">
        <x:v>Código fuente Java</x:v>
      </x:c>
      <x:c r="F219" s="7" t="str"/>
      <x:c r="G219" s="7" t="str">
        <x:v>CWE-472</x:v>
      </x:c>
      <x:c r="H219" s="7" t="str"/>
      <x:c r="I219" s="7" t="n">
        <x:v>20</x:v>
      </x:c>
      <x:c r="J219" s="9" t="str">
        <x:v>PENDIENTE</x:v>
      </x:c>
      <x:c r="K219" s="10" t="n">
        <x:v>46949</x:v>
      </x:c>
      <x:c r="L219" s="7" t="str">
        <x:v>Avance 2028-07-15</x:v>
      </x:c>
      <x:c r="M219" s="8" t="str">
        <x:v>Validar aplicabilidad antes de remediar.</x:v>
      </x:c>
      <x:c r="N219" s="17"/>
      <x:c r="O219" s="17"/>
    </x:row>
    <x:row r="220" ht="15" hidden="0" customHeight="1">
      <x:c r="A220" s="7" t="str">
        <x:v>SIAJ-0072</x:v>
      </x:c>
      <x:c r="B220" s="7" t="str">
        <x:v>SAST</x:v>
      </x:c>
      <x:c r="C220" s="7" t="str">
        <x:v>MEDIUM</x:v>
      </x:c>
      <x:c r="D220" s="8" t="str">
        <x:v>Parameter_Tampering 57/196</x:v>
      </x:c>
      <x:c r="E220" s="7" t="str">
        <x:v>Código fuente Java</x:v>
      </x:c>
      <x:c r="F220" s="7" t="str"/>
      <x:c r="G220" s="7" t="str">
        <x:v>CWE-472</x:v>
      </x:c>
      <x:c r="H220" s="7" t="str"/>
      <x:c r="I220" s="7" t="n">
        <x:v>20</x:v>
      </x:c>
      <x:c r="J220" s="9" t="str">
        <x:v>PENDIENTE</x:v>
      </x:c>
      <x:c r="K220" s="10" t="n">
        <x:v>46949</x:v>
      </x:c>
      <x:c r="L220" s="7" t="str">
        <x:v>Avance 2028-07-15</x:v>
      </x:c>
      <x:c r="M220" s="8" t="str">
        <x:v>Validar aplicabilidad antes de remediar.</x:v>
      </x:c>
      <x:c r="N220" s="17"/>
      <x:c r="O220" s="17"/>
    </x:row>
    <x:row r="221" ht="15" hidden="0" customHeight="1">
      <x:c r="A221" s="7" t="str">
        <x:v>SIAJ-0073</x:v>
      </x:c>
      <x:c r="B221" s="7" t="str">
        <x:v>SAST</x:v>
      </x:c>
      <x:c r="C221" s="7" t="str">
        <x:v>MEDIUM</x:v>
      </x:c>
      <x:c r="D221" s="8" t="str">
        <x:v>Parameter_Tampering 58/196</x:v>
      </x:c>
      <x:c r="E221" s="7" t="str">
        <x:v>Código fuente Java</x:v>
      </x:c>
      <x:c r="F221" s="7" t="str"/>
      <x:c r="G221" s="7" t="str">
        <x:v>CWE-472</x:v>
      </x:c>
      <x:c r="H221" s="7" t="str"/>
      <x:c r="I221" s="7" t="n">
        <x:v>20</x:v>
      </x:c>
      <x:c r="J221" s="9" t="str">
        <x:v>PENDIENTE</x:v>
      </x:c>
      <x:c r="K221" s="10" t="n">
        <x:v>46949</x:v>
      </x:c>
      <x:c r="L221" s="7" t="str">
        <x:v>Avance 2028-07-15</x:v>
      </x:c>
      <x:c r="M221" s="8" t="str">
        <x:v>Validar aplicabilidad antes de remediar.</x:v>
      </x:c>
      <x:c r="N221" s="17"/>
      <x:c r="O221" s="17"/>
    </x:row>
    <x:row r="222" ht="15" hidden="0" customHeight="1">
      <x:c r="A222" s="7" t="str">
        <x:v>SIAJ-0074</x:v>
      </x:c>
      <x:c r="B222" s="7" t="str">
        <x:v>SAST</x:v>
      </x:c>
      <x:c r="C222" s="7" t="str">
        <x:v>MEDIUM</x:v>
      </x:c>
      <x:c r="D222" s="8" t="str">
        <x:v>Parameter_Tampering 59/196</x:v>
      </x:c>
      <x:c r="E222" s="7" t="str">
        <x:v>Código fuente Java</x:v>
      </x:c>
      <x:c r="F222" s="7" t="str"/>
      <x:c r="G222" s="7" t="str">
        <x:v>CWE-472</x:v>
      </x:c>
      <x:c r="H222" s="7" t="str"/>
      <x:c r="I222" s="7" t="n">
        <x:v>20</x:v>
      </x:c>
      <x:c r="J222" s="9" t="str">
        <x:v>PENDIENTE</x:v>
      </x:c>
      <x:c r="K222" s="10" t="n">
        <x:v>46949</x:v>
      </x:c>
      <x:c r="L222" s="7" t="str">
        <x:v>Avance 2028-07-15</x:v>
      </x:c>
      <x:c r="M222" s="8" t="str">
        <x:v>Validar aplicabilidad antes de remediar.</x:v>
      </x:c>
      <x:c r="N222" s="17"/>
      <x:c r="O222" s="17"/>
    </x:row>
    <x:row r="223" ht="15" hidden="0" customHeight="1">
      <x:c r="A223" s="7" t="str">
        <x:v>SIAJ-0021</x:v>
      </x:c>
      <x:c r="B223" s="7" t="str">
        <x:v>SAST</x:v>
      </x:c>
      <x:c r="C223" s="7" t="str">
        <x:v>MEDIUM</x:v>
      </x:c>
      <x:c r="D223" s="8" t="str">
        <x:v>Parameter_Tampering 6/196</x:v>
      </x:c>
      <x:c r="E223" s="7" t="str">
        <x:v>Código fuente Java</x:v>
      </x:c>
      <x:c r="F223" s="7" t="str"/>
      <x:c r="G223" s="7" t="str">
        <x:v>CWE-472</x:v>
      </x:c>
      <x:c r="H223" s="7" t="str"/>
      <x:c r="I223" s="7" t="n">
        <x:v>20</x:v>
      </x:c>
      <x:c r="J223" s="9" t="str">
        <x:v>PENDIENTE</x:v>
      </x:c>
      <x:c r="K223" s="10" t="n">
        <x:v>46949</x:v>
      </x:c>
      <x:c r="L223" s="7" t="str">
        <x:v>Avance 2028-07-15</x:v>
      </x:c>
      <x:c r="M223" s="8" t="str">
        <x:v>Validar aplicabilidad antes de remediar.</x:v>
      </x:c>
      <x:c r="N223" s="17"/>
      <x:c r="O223" s="17"/>
    </x:row>
    <x:row r="224" ht="15" hidden="0" customHeight="1">
      <x:c r="A224" s="7" t="str">
        <x:v>SIAJ-0075</x:v>
      </x:c>
      <x:c r="B224" s="7" t="str">
        <x:v>SAST</x:v>
      </x:c>
      <x:c r="C224" s="7" t="str">
        <x:v>MEDIUM</x:v>
      </x:c>
      <x:c r="D224" s="8" t="str">
        <x:v>Parameter_Tampering 60/196</x:v>
      </x:c>
      <x:c r="E224" s="7" t="str">
        <x:v>Código fuente Java</x:v>
      </x:c>
      <x:c r="F224" s="7" t="str"/>
      <x:c r="G224" s="7" t="str">
        <x:v>CWE-472</x:v>
      </x:c>
      <x:c r="H224" s="7" t="str"/>
      <x:c r="I224" s="7" t="n">
        <x:v>20</x:v>
      </x:c>
      <x:c r="J224" s="9" t="str">
        <x:v>PENDIENTE</x:v>
      </x:c>
      <x:c r="K224" s="10" t="n">
        <x:v>46949</x:v>
      </x:c>
      <x:c r="L224" s="7" t="str">
        <x:v>Avance 2028-07-15</x:v>
      </x:c>
      <x:c r="M224" s="8" t="str">
        <x:v>Validar aplicabilidad antes de remediar.</x:v>
      </x:c>
      <x:c r="N224" s="17"/>
      <x:c r="O224" s="17"/>
    </x:row>
    <x:row r="225" ht="15" hidden="0" customHeight="1">
      <x:c r="A225" s="7" t="str">
        <x:v>SIAJ-0076</x:v>
      </x:c>
      <x:c r="B225" s="7" t="str">
        <x:v>SAST</x:v>
      </x:c>
      <x:c r="C225" s="7" t="str">
        <x:v>MEDIUM</x:v>
      </x:c>
      <x:c r="D225" s="8" t="str">
        <x:v>Parameter_Tampering 61/196</x:v>
      </x:c>
      <x:c r="E225" s="7" t="str">
        <x:v>Código fuente Java</x:v>
      </x:c>
      <x:c r="F225" s="7" t="str"/>
      <x:c r="G225" s="7" t="str">
        <x:v>CWE-472</x:v>
      </x:c>
      <x:c r="H225" s="7" t="str"/>
      <x:c r="I225" s="7" t="n">
        <x:v>20</x:v>
      </x:c>
      <x:c r="J225" s="9" t="str">
        <x:v>PENDIENTE</x:v>
      </x:c>
      <x:c r="K225" s="10" t="n">
        <x:v>46949</x:v>
      </x:c>
      <x:c r="L225" s="7" t="str">
        <x:v>Avance 2028-07-15</x:v>
      </x:c>
      <x:c r="M225" s="8" t="str">
        <x:v>Validar aplicabilidad antes de remediar.</x:v>
      </x:c>
      <x:c r="N225" s="17"/>
      <x:c r="O225" s="17"/>
    </x:row>
    <x:row r="226" ht="15" hidden="0" customHeight="1">
      <x:c r="A226" s="7" t="str">
        <x:v>SIAJ-0077</x:v>
      </x:c>
      <x:c r="B226" s="7" t="str">
        <x:v>SAST</x:v>
      </x:c>
      <x:c r="C226" s="7" t="str">
        <x:v>MEDIUM</x:v>
      </x:c>
      <x:c r="D226" s="8" t="str">
        <x:v>Parameter_Tampering 62/196</x:v>
      </x:c>
      <x:c r="E226" s="7" t="str">
        <x:v>Código fuente Java</x:v>
      </x:c>
      <x:c r="F226" s="7" t="str"/>
      <x:c r="G226" s="7" t="str">
        <x:v>CWE-472</x:v>
      </x:c>
      <x:c r="H226" s="7" t="str"/>
      <x:c r="I226" s="7" t="n">
        <x:v>20</x:v>
      </x:c>
      <x:c r="J226" s="9" t="str">
        <x:v>PENDIENTE</x:v>
      </x:c>
      <x:c r="K226" s="10" t="n">
        <x:v>46949</x:v>
      </x:c>
      <x:c r="L226" s="7" t="str">
        <x:v>Avance 2028-07-15</x:v>
      </x:c>
      <x:c r="M226" s="8" t="str">
        <x:v>Validar aplicabilidad antes de remediar.</x:v>
      </x:c>
      <x:c r="N226" s="17"/>
      <x:c r="O226" s="17"/>
    </x:row>
    <x:row r="227" ht="15" hidden="0" customHeight="1">
      <x:c r="A227" s="7" t="str">
        <x:v>SIAJ-0078</x:v>
      </x:c>
      <x:c r="B227" s="7" t="str">
        <x:v>SAST</x:v>
      </x:c>
      <x:c r="C227" s="7" t="str">
        <x:v>MEDIUM</x:v>
      </x:c>
      <x:c r="D227" s="8" t="str">
        <x:v>Parameter_Tampering 63/196</x:v>
      </x:c>
      <x:c r="E227" s="7" t="str">
        <x:v>Código fuente Java</x:v>
      </x:c>
      <x:c r="F227" s="7" t="str"/>
      <x:c r="G227" s="7" t="str">
        <x:v>CWE-472</x:v>
      </x:c>
      <x:c r="H227" s="7" t="str"/>
      <x:c r="I227" s="7" t="n">
        <x:v>20</x:v>
      </x:c>
      <x:c r="J227" s="9" t="str">
        <x:v>PENDIENTE</x:v>
      </x:c>
      <x:c r="K227" s="10" t="n">
        <x:v>46949</x:v>
      </x:c>
      <x:c r="L227" s="7" t="str">
        <x:v>Avance 2028-07-15</x:v>
      </x:c>
      <x:c r="M227" s="8" t="str">
        <x:v>Validar aplicabilidad antes de remediar.</x:v>
      </x:c>
      <x:c r="N227" s="17"/>
      <x:c r="O227" s="17"/>
    </x:row>
    <x:row r="228" ht="15" hidden="0" customHeight="1">
      <x:c r="A228" s="7" t="str">
        <x:v>SIAJ-0079</x:v>
      </x:c>
      <x:c r="B228" s="7" t="str">
        <x:v>SAST</x:v>
      </x:c>
      <x:c r="C228" s="7" t="str">
        <x:v>MEDIUM</x:v>
      </x:c>
      <x:c r="D228" s="8" t="str">
        <x:v>Parameter_Tampering 64/196</x:v>
      </x:c>
      <x:c r="E228" s="7" t="str">
        <x:v>Código fuente Java</x:v>
      </x:c>
      <x:c r="F228" s="7" t="str"/>
      <x:c r="G228" s="7" t="str">
        <x:v>CWE-472</x:v>
      </x:c>
      <x:c r="H228" s="7" t="str"/>
      <x:c r="I228" s="7" t="n">
        <x:v>20</x:v>
      </x:c>
      <x:c r="J228" s="9" t="str">
        <x:v>PENDIENTE</x:v>
      </x:c>
      <x:c r="K228" s="10" t="n">
        <x:v>46949</x:v>
      </x:c>
      <x:c r="L228" s="7" t="str">
        <x:v>Avance 2028-07-15</x:v>
      </x:c>
      <x:c r="M228" s="8" t="str">
        <x:v>Validar aplicabilidad antes de remediar.</x:v>
      </x:c>
      <x:c r="N228" s="17"/>
      <x:c r="O228" s="17"/>
    </x:row>
    <x:row r="229" ht="15" hidden="0" customHeight="1">
      <x:c r="A229" s="7" t="str">
        <x:v>SIAJ-0080</x:v>
      </x:c>
      <x:c r="B229" s="7" t="str">
        <x:v>SAST</x:v>
      </x:c>
      <x:c r="C229" s="7" t="str">
        <x:v>MEDIUM</x:v>
      </x:c>
      <x:c r="D229" s="8" t="str">
        <x:v>Parameter_Tampering 65/196</x:v>
      </x:c>
      <x:c r="E229" s="7" t="str">
        <x:v>Código fuente Java</x:v>
      </x:c>
      <x:c r="F229" s="7" t="str"/>
      <x:c r="G229" s="7" t="str">
        <x:v>CWE-472</x:v>
      </x:c>
      <x:c r="H229" s="7" t="str"/>
      <x:c r="I229" s="7" t="n">
        <x:v>20</x:v>
      </x:c>
      <x:c r="J229" s="9" t="str">
        <x:v>PENDIENTE</x:v>
      </x:c>
      <x:c r="K229" s="10" t="n">
        <x:v>46949</x:v>
      </x:c>
      <x:c r="L229" s="7" t="str">
        <x:v>Avance 2028-07-15</x:v>
      </x:c>
      <x:c r="M229" s="8" t="str">
        <x:v>Validar aplicabilidad antes de remediar.</x:v>
      </x:c>
      <x:c r="N229" s="17"/>
      <x:c r="O229" s="17"/>
    </x:row>
    <x:row r="230" ht="15" hidden="0" customHeight="1">
      <x:c r="A230" s="7" t="str">
        <x:v>SIAJ-0081</x:v>
      </x:c>
      <x:c r="B230" s="7" t="str">
        <x:v>SAST</x:v>
      </x:c>
      <x:c r="C230" s="7" t="str">
        <x:v>MEDIUM</x:v>
      </x:c>
      <x:c r="D230" s="8" t="str">
        <x:v>Parameter_Tampering 66/196</x:v>
      </x:c>
      <x:c r="E230" s="7" t="str">
        <x:v>Código fuente Java</x:v>
      </x:c>
      <x:c r="F230" s="7" t="str"/>
      <x:c r="G230" s="7" t="str">
        <x:v>CWE-472</x:v>
      </x:c>
      <x:c r="H230" s="7" t="str"/>
      <x:c r="I230" s="7" t="n">
        <x:v>20</x:v>
      </x:c>
      <x:c r="J230" s="9" t="str">
        <x:v>PENDIENTE</x:v>
      </x:c>
      <x:c r="K230" s="10" t="n">
        <x:v>46949</x:v>
      </x:c>
      <x:c r="L230" s="7" t="str">
        <x:v>Avance 2028-07-15</x:v>
      </x:c>
      <x:c r="M230" s="8" t="str">
        <x:v>Validar aplicabilidad antes de remediar.</x:v>
      </x:c>
      <x:c r="N230" s="17"/>
      <x:c r="O230" s="17"/>
    </x:row>
    <x:row r="231" ht="15" hidden="0" customHeight="1">
      <x:c r="A231" s="7" t="str">
        <x:v>SIAJ-0082</x:v>
      </x:c>
      <x:c r="B231" s="7" t="str">
        <x:v>SAST</x:v>
      </x:c>
      <x:c r="C231" s="7" t="str">
        <x:v>MEDIUM</x:v>
      </x:c>
      <x:c r="D231" s="8" t="str">
        <x:v>Parameter_Tampering 67/196</x:v>
      </x:c>
      <x:c r="E231" s="7" t="str">
        <x:v>Código fuente Java</x:v>
      </x:c>
      <x:c r="F231" s="7" t="str"/>
      <x:c r="G231" s="7" t="str">
        <x:v>CWE-472</x:v>
      </x:c>
      <x:c r="H231" s="7" t="str"/>
      <x:c r="I231" s="7" t="n">
        <x:v>20</x:v>
      </x:c>
      <x:c r="J231" s="9" t="str">
        <x:v>PENDIENTE</x:v>
      </x:c>
      <x:c r="K231" s="10" t="n">
        <x:v>46949</x:v>
      </x:c>
      <x:c r="L231" s="7" t="str">
        <x:v>Avance 2028-07-15</x:v>
      </x:c>
      <x:c r="M231" s="8" t="str">
        <x:v>Validar aplicabilidad antes de remediar.</x:v>
      </x:c>
      <x:c r="N231" s="17"/>
      <x:c r="O231" s="17"/>
    </x:row>
    <x:row r="232" ht="15" hidden="0" customHeight="1">
      <x:c r="A232" s="7" t="str">
        <x:v>SIAJ-0083</x:v>
      </x:c>
      <x:c r="B232" s="7" t="str">
        <x:v>SAST</x:v>
      </x:c>
      <x:c r="C232" s="7" t="str">
        <x:v>MEDIUM</x:v>
      </x:c>
      <x:c r="D232" s="8" t="str">
        <x:v>Parameter_Tampering 68/196</x:v>
      </x:c>
      <x:c r="E232" s="7" t="str">
        <x:v>Código fuente Java</x:v>
      </x:c>
      <x:c r="F232" s="7" t="str"/>
      <x:c r="G232" s="7" t="str">
        <x:v>CWE-472</x:v>
      </x:c>
      <x:c r="H232" s="7" t="str"/>
      <x:c r="I232" s="7" t="n">
        <x:v>20</x:v>
      </x:c>
      <x:c r="J232" s="9" t="str">
        <x:v>PENDIENTE</x:v>
      </x:c>
      <x:c r="K232" s="10" t="n">
        <x:v>46949</x:v>
      </x:c>
      <x:c r="L232" s="7" t="str">
        <x:v>Avance 2028-07-15</x:v>
      </x:c>
      <x:c r="M232" s="8" t="str">
        <x:v>Validar aplicabilidad antes de remediar.</x:v>
      </x:c>
      <x:c r="N232" s="17"/>
      <x:c r="O232" s="17"/>
    </x:row>
    <x:row r="233" ht="15" hidden="0" customHeight="1">
      <x:c r="A233" s="7" t="str">
        <x:v>SIAJ-0084</x:v>
      </x:c>
      <x:c r="B233" s="7" t="str">
        <x:v>SAST</x:v>
      </x:c>
      <x:c r="C233" s="7" t="str">
        <x:v>MEDIUM</x:v>
      </x:c>
      <x:c r="D233" s="8" t="str">
        <x:v>Parameter_Tampering 69/196</x:v>
      </x:c>
      <x:c r="E233" s="7" t="str">
        <x:v>Código fuente Java</x:v>
      </x:c>
      <x:c r="F233" s="7" t="str"/>
      <x:c r="G233" s="7" t="str">
        <x:v>CWE-472</x:v>
      </x:c>
      <x:c r="H233" s="7" t="str"/>
      <x:c r="I233" s="7" t="n">
        <x:v>20</x:v>
      </x:c>
      <x:c r="J233" s="9" t="str">
        <x:v>PENDIENTE</x:v>
      </x:c>
      <x:c r="K233" s="10" t="n">
        <x:v>46980</x:v>
      </x:c>
      <x:c r="L233" s="7" t="str">
        <x:v>Avance 2028-08-15</x:v>
      </x:c>
      <x:c r="M233" s="8" t="str">
        <x:v>Validar aplicabilidad antes de remediar.</x:v>
      </x:c>
      <x:c r="N233" s="17"/>
      <x:c r="O233" s="17"/>
    </x:row>
    <x:row r="234" ht="15" hidden="0" customHeight="1">
      <x:c r="A234" s="7" t="str">
        <x:v>SIAJ-0022</x:v>
      </x:c>
      <x:c r="B234" s="7" t="str">
        <x:v>SAST</x:v>
      </x:c>
      <x:c r="C234" s="7" t="str">
        <x:v>MEDIUM</x:v>
      </x:c>
      <x:c r="D234" s="8" t="str">
        <x:v>Parameter_Tampering 7/196</x:v>
      </x:c>
      <x:c r="E234" s="7" t="str">
        <x:v>Código fuente Java</x:v>
      </x:c>
      <x:c r="F234" s="7" t="str"/>
      <x:c r="G234" s="7" t="str">
        <x:v>CWE-472</x:v>
      </x:c>
      <x:c r="H234" s="7" t="str"/>
      <x:c r="I234" s="7" t="n">
        <x:v>20</x:v>
      </x:c>
      <x:c r="J234" s="9" t="str">
        <x:v>PENDIENTE</x:v>
      </x:c>
      <x:c r="K234" s="10" t="n">
        <x:v>46980</x:v>
      </x:c>
      <x:c r="L234" s="7" t="str">
        <x:v>Avance 2028-08-15</x:v>
      </x:c>
      <x:c r="M234" s="8" t="str">
        <x:v>Validar aplicabilidad antes de remediar.</x:v>
      </x:c>
      <x:c r="N234" s="17"/>
      <x:c r="O234" s="17"/>
    </x:row>
    <x:row r="235" ht="15" hidden="0" customHeight="1">
      <x:c r="A235" s="7" t="str">
        <x:v>SIAJ-0085</x:v>
      </x:c>
      <x:c r="B235" s="7" t="str">
        <x:v>SAST</x:v>
      </x:c>
      <x:c r="C235" s="7" t="str">
        <x:v>MEDIUM</x:v>
      </x:c>
      <x:c r="D235" s="8" t="str">
        <x:v>Parameter_Tampering 70/196</x:v>
      </x:c>
      <x:c r="E235" s="7" t="str">
        <x:v>Código fuente Java</x:v>
      </x:c>
      <x:c r="F235" s="7" t="str"/>
      <x:c r="G235" s="7" t="str">
        <x:v>CWE-472</x:v>
      </x:c>
      <x:c r="H235" s="7" t="str"/>
      <x:c r="I235" s="7" t="n">
        <x:v>20</x:v>
      </x:c>
      <x:c r="J235" s="9" t="str">
        <x:v>PENDIENTE</x:v>
      </x:c>
      <x:c r="K235" s="10" t="n">
        <x:v>46980</x:v>
      </x:c>
      <x:c r="L235" s="7" t="str">
        <x:v>Avance 2028-08-15</x:v>
      </x:c>
      <x:c r="M235" s="8" t="str">
        <x:v>Validar aplicabilidad antes de remediar.</x:v>
      </x:c>
      <x:c r="N235" s="17"/>
      <x:c r="O235" s="17"/>
    </x:row>
    <x:row r="236" ht="15" hidden="0" customHeight="1">
      <x:c r="A236" s="7" t="str">
        <x:v>SIAJ-0086</x:v>
      </x:c>
      <x:c r="B236" s="7" t="str">
        <x:v>SAST</x:v>
      </x:c>
      <x:c r="C236" s="7" t="str">
        <x:v>MEDIUM</x:v>
      </x:c>
      <x:c r="D236" s="8" t="str">
        <x:v>Parameter_Tampering 71/196</x:v>
      </x:c>
      <x:c r="E236" s="7" t="str">
        <x:v>Código fuente Java</x:v>
      </x:c>
      <x:c r="F236" s="7" t="str"/>
      <x:c r="G236" s="7" t="str">
        <x:v>CWE-472</x:v>
      </x:c>
      <x:c r="H236" s="7" t="str"/>
      <x:c r="I236" s="7" t="n">
        <x:v>20</x:v>
      </x:c>
      <x:c r="J236" s="9" t="str">
        <x:v>PENDIENTE</x:v>
      </x:c>
      <x:c r="K236" s="10" t="n">
        <x:v>46980</x:v>
      </x:c>
      <x:c r="L236" s="7" t="str">
        <x:v>Avance 2028-08-15</x:v>
      </x:c>
      <x:c r="M236" s="8" t="str">
        <x:v>Validar aplicabilidad antes de remediar.</x:v>
      </x:c>
      <x:c r="N236" s="17"/>
      <x:c r="O236" s="17"/>
    </x:row>
    <x:row r="237" ht="15" hidden="0" customHeight="1">
      <x:c r="A237" s="7" t="str">
        <x:v>SIAJ-0087</x:v>
      </x:c>
      <x:c r="B237" s="7" t="str">
        <x:v>SAST</x:v>
      </x:c>
      <x:c r="C237" s="7" t="str">
        <x:v>MEDIUM</x:v>
      </x:c>
      <x:c r="D237" s="8" t="str">
        <x:v>Parameter_Tampering 72/196</x:v>
      </x:c>
      <x:c r="E237" s="7" t="str">
        <x:v>Código fuente Java</x:v>
      </x:c>
      <x:c r="F237" s="7" t="str"/>
      <x:c r="G237" s="7" t="str">
        <x:v>CWE-472</x:v>
      </x:c>
      <x:c r="H237" s="7" t="str"/>
      <x:c r="I237" s="7" t="n">
        <x:v>20</x:v>
      </x:c>
      <x:c r="J237" s="9" t="str">
        <x:v>PENDIENTE</x:v>
      </x:c>
      <x:c r="K237" s="10" t="n">
        <x:v>46980</x:v>
      </x:c>
      <x:c r="L237" s="7" t="str">
        <x:v>Avance 2028-08-15</x:v>
      </x:c>
      <x:c r="M237" s="8" t="str">
        <x:v>Validar aplicabilidad antes de remediar.</x:v>
      </x:c>
      <x:c r="N237" s="17"/>
      <x:c r="O237" s="17"/>
    </x:row>
    <x:row r="238" ht="15" hidden="0" customHeight="1">
      <x:c r="A238" s="7" t="str">
        <x:v>SIAJ-0088</x:v>
      </x:c>
      <x:c r="B238" s="7" t="str">
        <x:v>SAST</x:v>
      </x:c>
      <x:c r="C238" s="7" t="str">
        <x:v>MEDIUM</x:v>
      </x:c>
      <x:c r="D238" s="8" t="str">
        <x:v>Parameter_Tampering 73/196</x:v>
      </x:c>
      <x:c r="E238" s="7" t="str">
        <x:v>Código fuente Java</x:v>
      </x:c>
      <x:c r="F238" s="7" t="str"/>
      <x:c r="G238" s="7" t="str">
        <x:v>CWE-472</x:v>
      </x:c>
      <x:c r="H238" s="7" t="str"/>
      <x:c r="I238" s="7" t="n">
        <x:v>20</x:v>
      </x:c>
      <x:c r="J238" s="9" t="str">
        <x:v>PENDIENTE</x:v>
      </x:c>
      <x:c r="K238" s="10" t="n">
        <x:v>46980</x:v>
      </x:c>
      <x:c r="L238" s="7" t="str">
        <x:v>Avance 2028-08-15</x:v>
      </x:c>
      <x:c r="M238" s="8" t="str">
        <x:v>Validar aplicabilidad antes de remediar.</x:v>
      </x:c>
      <x:c r="N238" s="17"/>
      <x:c r="O238" s="17"/>
    </x:row>
    <x:row r="239" ht="15" hidden="0" customHeight="1">
      <x:c r="A239" s="7" t="str">
        <x:v>SIAJ-0089</x:v>
      </x:c>
      <x:c r="B239" s="7" t="str">
        <x:v>SAST</x:v>
      </x:c>
      <x:c r="C239" s="7" t="str">
        <x:v>MEDIUM</x:v>
      </x:c>
      <x:c r="D239" s="8" t="str">
        <x:v>Parameter_Tampering 74/196</x:v>
      </x:c>
      <x:c r="E239" s="7" t="str">
        <x:v>Código fuente Java</x:v>
      </x:c>
      <x:c r="F239" s="7" t="str"/>
      <x:c r="G239" s="7" t="str">
        <x:v>CWE-472</x:v>
      </x:c>
      <x:c r="H239" s="7" t="str"/>
      <x:c r="I239" s="7" t="n">
        <x:v>20</x:v>
      </x:c>
      <x:c r="J239" s="9" t="str">
        <x:v>PENDIENTE</x:v>
      </x:c>
      <x:c r="K239" s="10" t="n">
        <x:v>46980</x:v>
      </x:c>
      <x:c r="L239" s="7" t="str">
        <x:v>Avance 2028-08-15</x:v>
      </x:c>
      <x:c r="M239" s="8" t="str">
        <x:v>Validar aplicabilidad antes de remediar.</x:v>
      </x:c>
      <x:c r="N239" s="17"/>
      <x:c r="O239" s="17"/>
    </x:row>
    <x:row r="240" ht="15" hidden="0" customHeight="1">
      <x:c r="A240" s="7" t="str">
        <x:v>SIAJ-0090</x:v>
      </x:c>
      <x:c r="B240" s="7" t="str">
        <x:v>SAST</x:v>
      </x:c>
      <x:c r="C240" s="7" t="str">
        <x:v>MEDIUM</x:v>
      </x:c>
      <x:c r="D240" s="8" t="str">
        <x:v>Parameter_Tampering 75/196</x:v>
      </x:c>
      <x:c r="E240" s="7" t="str">
        <x:v>Código fuente Java</x:v>
      </x:c>
      <x:c r="F240" s="7" t="str"/>
      <x:c r="G240" s="7" t="str">
        <x:v>CWE-472</x:v>
      </x:c>
      <x:c r="H240" s="7" t="str"/>
      <x:c r="I240" s="7" t="n">
        <x:v>20</x:v>
      </x:c>
      <x:c r="J240" s="9" t="str">
        <x:v>PENDIENTE</x:v>
      </x:c>
      <x:c r="K240" s="10" t="n">
        <x:v>46980</x:v>
      </x:c>
      <x:c r="L240" s="7" t="str">
        <x:v>Avance 2028-08-15</x:v>
      </x:c>
      <x:c r="M240" s="8" t="str">
        <x:v>Validar aplicabilidad antes de remediar.</x:v>
      </x:c>
      <x:c r="N240" s="17"/>
      <x:c r="O240" s="17"/>
    </x:row>
    <x:row r="241" ht="15" hidden="0" customHeight="1">
      <x:c r="A241" s="7" t="str">
        <x:v>SIAJ-0091</x:v>
      </x:c>
      <x:c r="B241" s="7" t="str">
        <x:v>SAST</x:v>
      </x:c>
      <x:c r="C241" s="7" t="str">
        <x:v>MEDIUM</x:v>
      </x:c>
      <x:c r="D241" s="8" t="str">
        <x:v>Parameter_Tampering 76/196</x:v>
      </x:c>
      <x:c r="E241" s="7" t="str">
        <x:v>Código fuente Java</x:v>
      </x:c>
      <x:c r="F241" s="7" t="str"/>
      <x:c r="G241" s="7" t="str">
        <x:v>CWE-472</x:v>
      </x:c>
      <x:c r="H241" s="7" t="str"/>
      <x:c r="I241" s="7" t="n">
        <x:v>20</x:v>
      </x:c>
      <x:c r="J241" s="9" t="str">
        <x:v>PENDIENTE</x:v>
      </x:c>
      <x:c r="K241" s="10" t="n">
        <x:v>46980</x:v>
      </x:c>
      <x:c r="L241" s="7" t="str">
        <x:v>Avance 2028-08-15</x:v>
      </x:c>
      <x:c r="M241" s="8" t="str">
        <x:v>Validar aplicabilidad antes de remediar.</x:v>
      </x:c>
      <x:c r="N241" s="17"/>
      <x:c r="O241" s="17"/>
    </x:row>
    <x:row r="242" ht="15" hidden="0" customHeight="1">
      <x:c r="A242" s="7" t="str">
        <x:v>SIAJ-0092</x:v>
      </x:c>
      <x:c r="B242" s="7" t="str">
        <x:v>SAST</x:v>
      </x:c>
      <x:c r="C242" s="7" t="str">
        <x:v>MEDIUM</x:v>
      </x:c>
      <x:c r="D242" s="8" t="str">
        <x:v>Parameter_Tampering 77/196</x:v>
      </x:c>
      <x:c r="E242" s="7" t="str">
        <x:v>Código fuente Java</x:v>
      </x:c>
      <x:c r="F242" s="7" t="str"/>
      <x:c r="G242" s="7" t="str">
        <x:v>CWE-472</x:v>
      </x:c>
      <x:c r="H242" s="7" t="str"/>
      <x:c r="I242" s="7" t="n">
        <x:v>20</x:v>
      </x:c>
      <x:c r="J242" s="9" t="str">
        <x:v>PENDIENTE</x:v>
      </x:c>
      <x:c r="K242" s="10" t="n">
        <x:v>46980</x:v>
      </x:c>
      <x:c r="L242" s="7" t="str">
        <x:v>Avance 2028-08-15</x:v>
      </x:c>
      <x:c r="M242" s="8" t="str">
        <x:v>Validar aplicabilidad antes de remediar.</x:v>
      </x:c>
      <x:c r="N242" s="17"/>
      <x:c r="O242" s="17"/>
    </x:row>
    <x:row r="243" ht="15" hidden="0" customHeight="1">
      <x:c r="A243" s="7" t="str">
        <x:v>SIAJ-0093</x:v>
      </x:c>
      <x:c r="B243" s="7" t="str">
        <x:v>SAST</x:v>
      </x:c>
      <x:c r="C243" s="7" t="str">
        <x:v>MEDIUM</x:v>
      </x:c>
      <x:c r="D243" s="8" t="str">
        <x:v>Parameter_Tampering 78/196</x:v>
      </x:c>
      <x:c r="E243" s="7" t="str">
        <x:v>Código fuente Java</x:v>
      </x:c>
      <x:c r="F243" s="7" t="str"/>
      <x:c r="G243" s="7" t="str">
        <x:v>CWE-472</x:v>
      </x:c>
      <x:c r="H243" s="7" t="str"/>
      <x:c r="I243" s="7" t="n">
        <x:v>20</x:v>
      </x:c>
      <x:c r="J243" s="9" t="str">
        <x:v>PENDIENTE</x:v>
      </x:c>
      <x:c r="K243" s="10" t="n">
        <x:v>46980</x:v>
      </x:c>
      <x:c r="L243" s="7" t="str">
        <x:v>Avance 2028-08-15</x:v>
      </x:c>
      <x:c r="M243" s="8" t="str">
        <x:v>Validar aplicabilidad antes de remediar.</x:v>
      </x:c>
      <x:c r="N243" s="17"/>
      <x:c r="O243" s="17"/>
    </x:row>
    <x:row r="244" ht="15" hidden="0" customHeight="1">
      <x:c r="A244" s="7" t="str">
        <x:v>SIAJ-0094</x:v>
      </x:c>
      <x:c r="B244" s="7" t="str">
        <x:v>SAST</x:v>
      </x:c>
      <x:c r="C244" s="7" t="str">
        <x:v>MEDIUM</x:v>
      </x:c>
      <x:c r="D244" s="8" t="str">
        <x:v>Parameter_Tampering 79/196</x:v>
      </x:c>
      <x:c r="E244" s="7" t="str">
        <x:v>Código fuente Java</x:v>
      </x:c>
      <x:c r="F244" s="7" t="str"/>
      <x:c r="G244" s="7" t="str">
        <x:v>CWE-472</x:v>
      </x:c>
      <x:c r="H244" s="7" t="str"/>
      <x:c r="I244" s="7" t="n">
        <x:v>20</x:v>
      </x:c>
      <x:c r="J244" s="9" t="str">
        <x:v>PENDIENTE</x:v>
      </x:c>
      <x:c r="K244" s="10" t="n">
        <x:v>46980</x:v>
      </x:c>
      <x:c r="L244" s="7" t="str">
        <x:v>Avance 2028-08-15</x:v>
      </x:c>
      <x:c r="M244" s="8" t="str">
        <x:v>Validar aplicabilidad antes de remediar.</x:v>
      </x:c>
      <x:c r="N244" s="17"/>
      <x:c r="O244" s="17"/>
    </x:row>
    <x:row r="245" ht="15" hidden="0" customHeight="1">
      <x:c r="A245" s="7" t="str">
        <x:v>SIAJ-0023</x:v>
      </x:c>
      <x:c r="B245" s="7" t="str">
        <x:v>SAST</x:v>
      </x:c>
      <x:c r="C245" s="7" t="str">
        <x:v>MEDIUM</x:v>
      </x:c>
      <x:c r="D245" s="8" t="str">
        <x:v>Parameter_Tampering 8/196</x:v>
      </x:c>
      <x:c r="E245" s="7" t="str">
        <x:v>Código fuente Java</x:v>
      </x:c>
      <x:c r="F245" s="7" t="str"/>
      <x:c r="G245" s="7" t="str">
        <x:v>CWE-472</x:v>
      </x:c>
      <x:c r="H245" s="7" t="str"/>
      <x:c r="I245" s="7" t="n">
        <x:v>20</x:v>
      </x:c>
      <x:c r="J245" s="9" t="str">
        <x:v>PENDIENTE</x:v>
      </x:c>
      <x:c r="K245" s="10" t="n">
        <x:v>46980</x:v>
      </x:c>
      <x:c r="L245" s="7" t="str">
        <x:v>Avance 2028-08-15</x:v>
      </x:c>
      <x:c r="M245" s="8" t="str">
        <x:v>Validar aplicabilidad antes de remediar.</x:v>
      </x:c>
      <x:c r="N245" s="17"/>
      <x:c r="O245" s="17"/>
    </x:row>
    <x:row r="246" ht="15" hidden="0" customHeight="1">
      <x:c r="A246" s="7" t="str">
        <x:v>SIAJ-0095</x:v>
      </x:c>
      <x:c r="B246" s="7" t="str">
        <x:v>SAST</x:v>
      </x:c>
      <x:c r="C246" s="7" t="str">
        <x:v>MEDIUM</x:v>
      </x:c>
      <x:c r="D246" s="8" t="str">
        <x:v>Parameter_Tampering 80/196</x:v>
      </x:c>
      <x:c r="E246" s="7" t="str">
        <x:v>Código fuente Java</x:v>
      </x:c>
      <x:c r="F246" s="7" t="str"/>
      <x:c r="G246" s="7" t="str">
        <x:v>CWE-472</x:v>
      </x:c>
      <x:c r="H246" s="7" t="str"/>
      <x:c r="I246" s="7" t="n">
        <x:v>20</x:v>
      </x:c>
      <x:c r="J246" s="9" t="str">
        <x:v>PENDIENTE</x:v>
      </x:c>
      <x:c r="K246" s="10" t="n">
        <x:v>46980</x:v>
      </x:c>
      <x:c r="L246" s="7" t="str">
        <x:v>Avance 2028-08-15</x:v>
      </x:c>
      <x:c r="M246" s="8" t="str">
        <x:v>Validar aplicabilidad antes de remediar.</x:v>
      </x:c>
      <x:c r="N246" s="17"/>
      <x:c r="O246" s="17"/>
    </x:row>
    <x:row r="247" ht="15" hidden="0" customHeight="1">
      <x:c r="A247" s="7" t="str">
        <x:v>SIAJ-0096</x:v>
      </x:c>
      <x:c r="B247" s="7" t="str">
        <x:v>SAST</x:v>
      </x:c>
      <x:c r="C247" s="7" t="str">
        <x:v>MEDIUM</x:v>
      </x:c>
      <x:c r="D247" s="8" t="str">
        <x:v>Parameter_Tampering 81/196</x:v>
      </x:c>
      <x:c r="E247" s="7" t="str">
        <x:v>Código fuente Java</x:v>
      </x:c>
      <x:c r="F247" s="7" t="str"/>
      <x:c r="G247" s="7" t="str">
        <x:v>CWE-472</x:v>
      </x:c>
      <x:c r="H247" s="7" t="str"/>
      <x:c r="I247" s="7" t="n">
        <x:v>20</x:v>
      </x:c>
      <x:c r="J247" s="9" t="str">
        <x:v>PENDIENTE</x:v>
      </x:c>
      <x:c r="K247" s="10" t="n">
        <x:v>46980</x:v>
      </x:c>
      <x:c r="L247" s="7" t="str">
        <x:v>Avance 2028-08-15</x:v>
      </x:c>
      <x:c r="M247" s="8" t="str">
        <x:v>Validar aplicabilidad antes de remediar.</x:v>
      </x:c>
      <x:c r="N247" s="17"/>
      <x:c r="O247" s="17"/>
    </x:row>
    <x:row r="248" ht="15" hidden="0" customHeight="1">
      <x:c r="A248" s="7" t="str">
        <x:v>SIAJ-0097</x:v>
      </x:c>
      <x:c r="B248" s="7" t="str">
        <x:v>SAST</x:v>
      </x:c>
      <x:c r="C248" s="7" t="str">
        <x:v>MEDIUM</x:v>
      </x:c>
      <x:c r="D248" s="8" t="str">
        <x:v>Parameter_Tampering 82/196</x:v>
      </x:c>
      <x:c r="E248" s="7" t="str">
        <x:v>Código fuente Java</x:v>
      </x:c>
      <x:c r="F248" s="7" t="str"/>
      <x:c r="G248" s="7" t="str">
        <x:v>CWE-472</x:v>
      </x:c>
      <x:c r="H248" s="7" t="str"/>
      <x:c r="I248" s="7" t="n">
        <x:v>20</x:v>
      </x:c>
      <x:c r="J248" s="9" t="str">
        <x:v>PENDIENTE</x:v>
      </x:c>
      <x:c r="K248" s="10" t="n">
        <x:v>46980</x:v>
      </x:c>
      <x:c r="L248" s="7" t="str">
        <x:v>Avance 2028-08-15</x:v>
      </x:c>
      <x:c r="M248" s="8" t="str">
        <x:v>Validar aplicabilidad antes de remediar.</x:v>
      </x:c>
      <x:c r="N248" s="17"/>
      <x:c r="O248" s="17"/>
    </x:row>
    <x:row r="249" ht="15" hidden="0" customHeight="1">
      <x:c r="A249" s="7" t="str">
        <x:v>SIAJ-0098</x:v>
      </x:c>
      <x:c r="B249" s="7" t="str">
        <x:v>SAST</x:v>
      </x:c>
      <x:c r="C249" s="7" t="str">
        <x:v>MEDIUM</x:v>
      </x:c>
      <x:c r="D249" s="8" t="str">
        <x:v>Parameter_Tampering 83/196</x:v>
      </x:c>
      <x:c r="E249" s="7" t="str">
        <x:v>Código fuente Java</x:v>
      </x:c>
      <x:c r="F249" s="7" t="str"/>
      <x:c r="G249" s="7" t="str">
        <x:v>CWE-472</x:v>
      </x:c>
      <x:c r="H249" s="7" t="str"/>
      <x:c r="I249" s="7" t="n">
        <x:v>20</x:v>
      </x:c>
      <x:c r="J249" s="9" t="str">
        <x:v>PENDIENTE</x:v>
      </x:c>
      <x:c r="K249" s="10" t="n">
        <x:v>46980</x:v>
      </x:c>
      <x:c r="L249" s="7" t="str">
        <x:v>Avance 2028-08-15</x:v>
      </x:c>
      <x:c r="M249" s="8" t="str">
        <x:v>Validar aplicabilidad antes de remediar.</x:v>
      </x:c>
      <x:c r="N249" s="17"/>
      <x:c r="O249" s="17"/>
    </x:row>
    <x:row r="250" ht="15" hidden="0" customHeight="1">
      <x:c r="A250" s="7" t="str">
        <x:v>SIAJ-0099</x:v>
      </x:c>
      <x:c r="B250" s="7" t="str">
        <x:v>SAST</x:v>
      </x:c>
      <x:c r="C250" s="7" t="str">
        <x:v>MEDIUM</x:v>
      </x:c>
      <x:c r="D250" s="8" t="str">
        <x:v>Parameter_Tampering 84/196</x:v>
      </x:c>
      <x:c r="E250" s="7" t="str">
        <x:v>Código fuente Java</x:v>
      </x:c>
      <x:c r="F250" s="7" t="str"/>
      <x:c r="G250" s="7" t="str">
        <x:v>CWE-472</x:v>
      </x:c>
      <x:c r="H250" s="7" t="str"/>
      <x:c r="I250" s="7" t="n">
        <x:v>20</x:v>
      </x:c>
      <x:c r="J250" s="9" t="str">
        <x:v>PENDIENTE</x:v>
      </x:c>
      <x:c r="K250" s="10" t="n">
        <x:v>46980</x:v>
      </x:c>
      <x:c r="L250" s="7" t="str">
        <x:v>Avance 2028-08-15</x:v>
      </x:c>
      <x:c r="M250" s="8" t="str">
        <x:v>Validar aplicabilidad antes de remediar.</x:v>
      </x:c>
      <x:c r="N250" s="17"/>
      <x:c r="O250" s="17"/>
    </x:row>
    <x:row r="251" ht="15" hidden="0" customHeight="1">
      <x:c r="A251" s="7" t="str">
        <x:v>SIAJ-0100</x:v>
      </x:c>
      <x:c r="B251" s="7" t="str">
        <x:v>SAST</x:v>
      </x:c>
      <x:c r="C251" s="7" t="str">
        <x:v>MEDIUM</x:v>
      </x:c>
      <x:c r="D251" s="8" t="str">
        <x:v>Parameter_Tampering 85/196</x:v>
      </x:c>
      <x:c r="E251" s="7" t="str">
        <x:v>Código fuente Java</x:v>
      </x:c>
      <x:c r="F251" s="7" t="str"/>
      <x:c r="G251" s="7" t="str">
        <x:v>CWE-472</x:v>
      </x:c>
      <x:c r="H251" s="7" t="str"/>
      <x:c r="I251" s="7" t="n">
        <x:v>20</x:v>
      </x:c>
      <x:c r="J251" s="9" t="str">
        <x:v>PENDIENTE</x:v>
      </x:c>
      <x:c r="K251" s="10" t="n">
        <x:v>47011</x:v>
      </x:c>
      <x:c r="L251" s="7" t="str">
        <x:v>Avance 2028-09-15</x:v>
      </x:c>
      <x:c r="M251" s="8" t="str">
        <x:v>Validar aplicabilidad antes de remediar.</x:v>
      </x:c>
      <x:c r="N251" s="17"/>
      <x:c r="O251" s="17"/>
    </x:row>
    <x:row r="252" ht="15" hidden="0" customHeight="1">
      <x:c r="A252" s="7" t="str">
        <x:v>SIAJ-0101</x:v>
      </x:c>
      <x:c r="B252" s="7" t="str">
        <x:v>SAST</x:v>
      </x:c>
      <x:c r="C252" s="7" t="str">
        <x:v>MEDIUM</x:v>
      </x:c>
      <x:c r="D252" s="8" t="str">
        <x:v>Parameter_Tampering 86/196</x:v>
      </x:c>
      <x:c r="E252" s="7" t="str">
        <x:v>Código fuente Java</x:v>
      </x:c>
      <x:c r="F252" s="7" t="str"/>
      <x:c r="G252" s="7" t="str">
        <x:v>CWE-472</x:v>
      </x:c>
      <x:c r="H252" s="7" t="str"/>
      <x:c r="I252" s="7" t="n">
        <x:v>20</x:v>
      </x:c>
      <x:c r="J252" s="9" t="str">
        <x:v>PENDIENTE</x:v>
      </x:c>
      <x:c r="K252" s="10" t="n">
        <x:v>47011</x:v>
      </x:c>
      <x:c r="L252" s="7" t="str">
        <x:v>Avance 2028-09-15</x:v>
      </x:c>
      <x:c r="M252" s="8" t="str">
        <x:v>Validar aplicabilidad antes de remediar.</x:v>
      </x:c>
      <x:c r="N252" s="17"/>
      <x:c r="O252" s="17"/>
    </x:row>
    <x:row r="253" ht="15" hidden="0" customHeight="1">
      <x:c r="A253" s="7" t="str">
        <x:v>SIAJ-0102</x:v>
      </x:c>
      <x:c r="B253" s="7" t="str">
        <x:v>SAST</x:v>
      </x:c>
      <x:c r="C253" s="7" t="str">
        <x:v>MEDIUM</x:v>
      </x:c>
      <x:c r="D253" s="8" t="str">
        <x:v>Parameter_Tampering 87/196</x:v>
      </x:c>
      <x:c r="E253" s="7" t="str">
        <x:v>Código fuente Java</x:v>
      </x:c>
      <x:c r="F253" s="7" t="str"/>
      <x:c r="G253" s="7" t="str">
        <x:v>CWE-472</x:v>
      </x:c>
      <x:c r="H253" s="7" t="str"/>
      <x:c r="I253" s="7" t="n">
        <x:v>20</x:v>
      </x:c>
      <x:c r="J253" s="9" t="str">
        <x:v>PENDIENTE</x:v>
      </x:c>
      <x:c r="K253" s="10" t="n">
        <x:v>47011</x:v>
      </x:c>
      <x:c r="L253" s="7" t="str">
        <x:v>Avance 2028-09-15</x:v>
      </x:c>
      <x:c r="M253" s="8" t="str">
        <x:v>Validar aplicabilidad antes de remediar.</x:v>
      </x:c>
      <x:c r="N253" s="17"/>
      <x:c r="O253" s="17"/>
    </x:row>
    <x:row r="254" ht="15" hidden="0" customHeight="1">
      <x:c r="A254" s="7" t="str">
        <x:v>SIAJ-0103</x:v>
      </x:c>
      <x:c r="B254" s="7" t="str">
        <x:v>SAST</x:v>
      </x:c>
      <x:c r="C254" s="7" t="str">
        <x:v>MEDIUM</x:v>
      </x:c>
      <x:c r="D254" s="8" t="str">
        <x:v>Parameter_Tampering 88/196</x:v>
      </x:c>
      <x:c r="E254" s="7" t="str">
        <x:v>Código fuente Java</x:v>
      </x:c>
      <x:c r="F254" s="7" t="str"/>
      <x:c r="G254" s="7" t="str">
        <x:v>CWE-472</x:v>
      </x:c>
      <x:c r="H254" s="7" t="str"/>
      <x:c r="I254" s="7" t="n">
        <x:v>20</x:v>
      </x:c>
      <x:c r="J254" s="9" t="str">
        <x:v>PENDIENTE</x:v>
      </x:c>
      <x:c r="K254" s="10" t="n">
        <x:v>47011</x:v>
      </x:c>
      <x:c r="L254" s="7" t="str">
        <x:v>Avance 2028-09-15</x:v>
      </x:c>
      <x:c r="M254" s="8" t="str">
        <x:v>Validar aplicabilidad antes de remediar.</x:v>
      </x:c>
      <x:c r="N254" s="17"/>
      <x:c r="O254" s="17"/>
    </x:row>
    <x:row r="255" ht="15" hidden="0" customHeight="1">
      <x:c r="A255" s="7" t="str">
        <x:v>SIAJ-0104</x:v>
      </x:c>
      <x:c r="B255" s="7" t="str">
        <x:v>SAST</x:v>
      </x:c>
      <x:c r="C255" s="7" t="str">
        <x:v>MEDIUM</x:v>
      </x:c>
      <x:c r="D255" s="8" t="str">
        <x:v>Parameter_Tampering 89/196</x:v>
      </x:c>
      <x:c r="E255" s="7" t="str">
        <x:v>Código fuente Java</x:v>
      </x:c>
      <x:c r="F255" s="7" t="str"/>
      <x:c r="G255" s="7" t="str">
        <x:v>CWE-472</x:v>
      </x:c>
      <x:c r="H255" s="7" t="str"/>
      <x:c r="I255" s="7" t="n">
        <x:v>20</x:v>
      </x:c>
      <x:c r="J255" s="9" t="str">
        <x:v>PENDIENTE</x:v>
      </x:c>
      <x:c r="K255" s="10" t="n">
        <x:v>47011</x:v>
      </x:c>
      <x:c r="L255" s="7" t="str">
        <x:v>Avance 2028-09-15</x:v>
      </x:c>
      <x:c r="M255" s="8" t="str">
        <x:v>Validar aplicabilidad antes de remediar.</x:v>
      </x:c>
      <x:c r="N255" s="17"/>
      <x:c r="O255" s="17"/>
    </x:row>
    <x:row r="256" ht="15" hidden="0" customHeight="1">
      <x:c r="A256" s="7" t="str">
        <x:v>SIAJ-0024</x:v>
      </x:c>
      <x:c r="B256" s="7" t="str">
        <x:v>SAST</x:v>
      </x:c>
      <x:c r="C256" s="7" t="str">
        <x:v>MEDIUM</x:v>
      </x:c>
      <x:c r="D256" s="8" t="str">
        <x:v>Parameter_Tampering 9/196</x:v>
      </x:c>
      <x:c r="E256" s="7" t="str">
        <x:v>Código fuente Java</x:v>
      </x:c>
      <x:c r="F256" s="7" t="str"/>
      <x:c r="G256" s="7" t="str">
        <x:v>CWE-472</x:v>
      </x:c>
      <x:c r="H256" s="7" t="str"/>
      <x:c r="I256" s="7" t="n">
        <x:v>20</x:v>
      </x:c>
      <x:c r="J256" s="9" t="str">
        <x:v>PENDIENTE</x:v>
      </x:c>
      <x:c r="K256" s="10" t="n">
        <x:v>47011</x:v>
      </x:c>
      <x:c r="L256" s="7" t="str">
        <x:v>Avance 2028-09-15</x:v>
      </x:c>
      <x:c r="M256" s="8" t="str">
        <x:v>Validar aplicabilidad antes de remediar.</x:v>
      </x:c>
      <x:c r="N256" s="17"/>
      <x:c r="O256" s="17"/>
    </x:row>
    <x:row r="257" ht="15" hidden="0" customHeight="1">
      <x:c r="A257" s="7" t="str">
        <x:v>SIAJ-0105</x:v>
      </x:c>
      <x:c r="B257" s="7" t="str">
        <x:v>SAST</x:v>
      </x:c>
      <x:c r="C257" s="7" t="str">
        <x:v>MEDIUM</x:v>
      </x:c>
      <x:c r="D257" s="8" t="str">
        <x:v>Parameter_Tampering 90/196</x:v>
      </x:c>
      <x:c r="E257" s="7" t="str">
        <x:v>Código fuente Java</x:v>
      </x:c>
      <x:c r="F257" s="7" t="str"/>
      <x:c r="G257" s="7" t="str">
        <x:v>CWE-472</x:v>
      </x:c>
      <x:c r="H257" s="7" t="str"/>
      <x:c r="I257" s="7" t="n">
        <x:v>20</x:v>
      </x:c>
      <x:c r="J257" s="9" t="str">
        <x:v>PENDIENTE</x:v>
      </x:c>
      <x:c r="K257" s="10" t="n">
        <x:v>47011</x:v>
      </x:c>
      <x:c r="L257" s="7" t="str">
        <x:v>Avance 2028-09-15</x:v>
      </x:c>
      <x:c r="M257" s="8" t="str">
        <x:v>Validar aplicabilidad antes de remediar.</x:v>
      </x:c>
      <x:c r="N257" s="17"/>
      <x:c r="O257" s="17"/>
    </x:row>
    <x:row r="258" ht="15" hidden="0" customHeight="1">
      <x:c r="A258" s="7" t="str">
        <x:v>SIAJ-0106</x:v>
      </x:c>
      <x:c r="B258" s="7" t="str">
        <x:v>SAST</x:v>
      </x:c>
      <x:c r="C258" s="7" t="str">
        <x:v>MEDIUM</x:v>
      </x:c>
      <x:c r="D258" s="8" t="str">
        <x:v>Parameter_Tampering 91/196</x:v>
      </x:c>
      <x:c r="E258" s="7" t="str">
        <x:v>Código fuente Java</x:v>
      </x:c>
      <x:c r="F258" s="7" t="str"/>
      <x:c r="G258" s="7" t="str">
        <x:v>CWE-472</x:v>
      </x:c>
      <x:c r="H258" s="7" t="str"/>
      <x:c r="I258" s="7" t="n">
        <x:v>20</x:v>
      </x:c>
      <x:c r="J258" s="9" t="str">
        <x:v>PENDIENTE</x:v>
      </x:c>
      <x:c r="K258" s="10" t="n">
        <x:v>47011</x:v>
      </x:c>
      <x:c r="L258" s="7" t="str">
        <x:v>Avance 2028-09-15</x:v>
      </x:c>
      <x:c r="M258" s="8" t="str">
        <x:v>Validar aplicabilidad antes de remediar.</x:v>
      </x:c>
      <x:c r="N258" s="17"/>
      <x:c r="O258" s="17"/>
    </x:row>
    <x:row r="259" ht="15" hidden="0" customHeight="1">
      <x:c r="A259" s="7" t="str">
        <x:v>SIAJ-0107</x:v>
      </x:c>
      <x:c r="B259" s="7" t="str">
        <x:v>SAST</x:v>
      </x:c>
      <x:c r="C259" s="7" t="str">
        <x:v>MEDIUM</x:v>
      </x:c>
      <x:c r="D259" s="8" t="str">
        <x:v>Parameter_Tampering 92/196</x:v>
      </x:c>
      <x:c r="E259" s="7" t="str">
        <x:v>Código fuente Java</x:v>
      </x:c>
      <x:c r="F259" s="7" t="str"/>
      <x:c r="G259" s="7" t="str">
        <x:v>CWE-472</x:v>
      </x:c>
      <x:c r="H259" s="7" t="str"/>
      <x:c r="I259" s="7" t="n">
        <x:v>20</x:v>
      </x:c>
      <x:c r="J259" s="9" t="str">
        <x:v>PENDIENTE</x:v>
      </x:c>
      <x:c r="K259" s="10" t="n">
        <x:v>47011</x:v>
      </x:c>
      <x:c r="L259" s="7" t="str">
        <x:v>Avance 2028-09-15</x:v>
      </x:c>
      <x:c r="M259" s="8" t="str">
        <x:v>Validar aplicabilidad antes de remediar.</x:v>
      </x:c>
      <x:c r="N259" s="17"/>
      <x:c r="O259" s="17"/>
    </x:row>
    <x:row r="260" ht="15" hidden="0" customHeight="1">
      <x:c r="A260" s="7" t="str">
        <x:v>SIAJ-0108</x:v>
      </x:c>
      <x:c r="B260" s="7" t="str">
        <x:v>SAST</x:v>
      </x:c>
      <x:c r="C260" s="7" t="str">
        <x:v>MEDIUM</x:v>
      </x:c>
      <x:c r="D260" s="8" t="str">
        <x:v>Parameter_Tampering 93/196</x:v>
      </x:c>
      <x:c r="E260" s="7" t="str">
        <x:v>Código fuente Java</x:v>
      </x:c>
      <x:c r="F260" s="7" t="str"/>
      <x:c r="G260" s="7" t="str">
        <x:v>CWE-472</x:v>
      </x:c>
      <x:c r="H260" s="7" t="str"/>
      <x:c r="I260" s="7" t="n">
        <x:v>20</x:v>
      </x:c>
      <x:c r="J260" s="9" t="str">
        <x:v>PENDIENTE</x:v>
      </x:c>
      <x:c r="K260" s="10" t="n">
        <x:v>47011</x:v>
      </x:c>
      <x:c r="L260" s="7" t="str">
        <x:v>Avance 2028-09-15</x:v>
      </x:c>
      <x:c r="M260" s="8" t="str">
        <x:v>Validar aplicabilidad antes de remediar.</x:v>
      </x:c>
      <x:c r="N260" s="17"/>
      <x:c r="O260" s="17"/>
    </x:row>
    <x:row r="261" ht="15" hidden="0" customHeight="1">
      <x:c r="A261" s="7" t="str">
        <x:v>SIAJ-0109</x:v>
      </x:c>
      <x:c r="B261" s="7" t="str">
        <x:v>SAST</x:v>
      </x:c>
      <x:c r="C261" s="7" t="str">
        <x:v>MEDIUM</x:v>
      </x:c>
      <x:c r="D261" s="8" t="str">
        <x:v>Parameter_Tampering 94/196</x:v>
      </x:c>
      <x:c r="E261" s="7" t="str">
        <x:v>Código fuente Java</x:v>
      </x:c>
      <x:c r="F261" s="7" t="str"/>
      <x:c r="G261" s="7" t="str">
        <x:v>CWE-472</x:v>
      </x:c>
      <x:c r="H261" s="7" t="str"/>
      <x:c r="I261" s="7" t="n">
        <x:v>20</x:v>
      </x:c>
      <x:c r="J261" s="9" t="str">
        <x:v>PENDIENTE</x:v>
      </x:c>
      <x:c r="K261" s="10" t="n">
        <x:v>47011</x:v>
      </x:c>
      <x:c r="L261" s="7" t="str">
        <x:v>Avance 2028-09-15</x:v>
      </x:c>
      <x:c r="M261" s="8" t="str">
        <x:v>Validar aplicabilidad antes de remediar.</x:v>
      </x:c>
      <x:c r="N261" s="17"/>
      <x:c r="O261" s="17"/>
    </x:row>
    <x:row r="262" ht="15" hidden="0" customHeight="1">
      <x:c r="A262" s="7" t="str">
        <x:v>SIAJ-0110</x:v>
      </x:c>
      <x:c r="B262" s="7" t="str">
        <x:v>SAST</x:v>
      </x:c>
      <x:c r="C262" s="7" t="str">
        <x:v>MEDIUM</x:v>
      </x:c>
      <x:c r="D262" s="8" t="str">
        <x:v>Parameter_Tampering 95/196</x:v>
      </x:c>
      <x:c r="E262" s="7" t="str">
        <x:v>Código fuente Java</x:v>
      </x:c>
      <x:c r="F262" s="7" t="str"/>
      <x:c r="G262" s="7" t="str">
        <x:v>CWE-472</x:v>
      </x:c>
      <x:c r="H262" s="7" t="str"/>
      <x:c r="I262" s="7" t="n">
        <x:v>20</x:v>
      </x:c>
      <x:c r="J262" s="9" t="str">
        <x:v>PENDIENTE</x:v>
      </x:c>
      <x:c r="K262" s="10" t="n">
        <x:v>47011</x:v>
      </x:c>
      <x:c r="L262" s="7" t="str">
        <x:v>Avance 2028-09-15</x:v>
      </x:c>
      <x:c r="M262" s="8" t="str">
        <x:v>Validar aplicabilidad antes de remediar.</x:v>
      </x:c>
      <x:c r="N262" s="17"/>
      <x:c r="O262" s="17"/>
    </x:row>
    <x:row r="263" ht="15" hidden="0" customHeight="1">
      <x:c r="A263" s="7" t="str">
        <x:v>SIAJ-0111</x:v>
      </x:c>
      <x:c r="B263" s="7" t="str">
        <x:v>SAST</x:v>
      </x:c>
      <x:c r="C263" s="7" t="str">
        <x:v>MEDIUM</x:v>
      </x:c>
      <x:c r="D263" s="8" t="str">
        <x:v>Parameter_Tampering 96/196</x:v>
      </x:c>
      <x:c r="E263" s="7" t="str">
        <x:v>Código fuente Java</x:v>
      </x:c>
      <x:c r="F263" s="7" t="str"/>
      <x:c r="G263" s="7" t="str">
        <x:v>CWE-472</x:v>
      </x:c>
      <x:c r="H263" s="7" t="str"/>
      <x:c r="I263" s="7" t="n">
        <x:v>20</x:v>
      </x:c>
      <x:c r="J263" s="9" t="str">
        <x:v>PENDIENTE</x:v>
      </x:c>
      <x:c r="K263" s="10" t="n">
        <x:v>47011</x:v>
      </x:c>
      <x:c r="L263" s="7" t="str">
        <x:v>Avance 2028-09-15</x:v>
      </x:c>
      <x:c r="M263" s="8" t="str">
        <x:v>Validar aplicabilidad antes de remediar.</x:v>
      </x:c>
      <x:c r="N263" s="17"/>
      <x:c r="O263" s="17"/>
    </x:row>
    <x:row r="264" ht="15" hidden="0" customHeight="1">
      <x:c r="A264" s="7" t="str">
        <x:v>SIAJ-0112</x:v>
      </x:c>
      <x:c r="B264" s="7" t="str">
        <x:v>SAST</x:v>
      </x:c>
      <x:c r="C264" s="7" t="str">
        <x:v>MEDIUM</x:v>
      </x:c>
      <x:c r="D264" s="8" t="str">
        <x:v>Parameter_Tampering 97/196</x:v>
      </x:c>
      <x:c r="E264" s="7" t="str">
        <x:v>Código fuente Java</x:v>
      </x:c>
      <x:c r="F264" s="7" t="str"/>
      <x:c r="G264" s="7" t="str">
        <x:v>CWE-472</x:v>
      </x:c>
      <x:c r="H264" s="7" t="str"/>
      <x:c r="I264" s="7" t="n">
        <x:v>20</x:v>
      </x:c>
      <x:c r="J264" s="9" t="str">
        <x:v>PENDIENTE</x:v>
      </x:c>
      <x:c r="K264" s="10" t="n">
        <x:v>47011</x:v>
      </x:c>
      <x:c r="L264" s="7" t="str">
        <x:v>Avance 2028-09-15</x:v>
      </x:c>
      <x:c r="M264" s="8" t="str">
        <x:v>Validar aplicabilidad antes de remediar.</x:v>
      </x:c>
      <x:c r="N264" s="17"/>
      <x:c r="O264" s="17"/>
    </x:row>
    <x:row r="265" ht="15" hidden="0" customHeight="1">
      <x:c r="A265" s="7" t="str">
        <x:v>SIAJ-0113</x:v>
      </x:c>
      <x:c r="B265" s="7" t="str">
        <x:v>SAST</x:v>
      </x:c>
      <x:c r="C265" s="7" t="str">
        <x:v>MEDIUM</x:v>
      </x:c>
      <x:c r="D265" s="8" t="str">
        <x:v>Parameter_Tampering 98/196</x:v>
      </x:c>
      <x:c r="E265" s="7" t="str">
        <x:v>Código fuente Java</x:v>
      </x:c>
      <x:c r="F265" s="7" t="str"/>
      <x:c r="G265" s="7" t="str">
        <x:v>CWE-472</x:v>
      </x:c>
      <x:c r="H265" s="7" t="str"/>
      <x:c r="I265" s="7" t="n">
        <x:v>20</x:v>
      </x:c>
      <x:c r="J265" s="9" t="str">
        <x:v>PENDIENTE</x:v>
      </x:c>
      <x:c r="K265" s="10" t="n">
        <x:v>47011</x:v>
      </x:c>
      <x:c r="L265" s="7" t="str">
        <x:v>Avance 2028-09-15</x:v>
      </x:c>
      <x:c r="M265" s="8" t="str">
        <x:v>Validar aplicabilidad antes de remediar.</x:v>
      </x:c>
      <x:c r="N265" s="17"/>
      <x:c r="O265" s="17"/>
    </x:row>
    <x:row r="266" ht="15" hidden="0" customHeight="1">
      <x:c r="A266" s="7" t="str">
        <x:v>SIAJ-0114</x:v>
      </x:c>
      <x:c r="B266" s="7" t="str">
        <x:v>SAST</x:v>
      </x:c>
      <x:c r="C266" s="7" t="str">
        <x:v>MEDIUM</x:v>
      </x:c>
      <x:c r="D266" s="8" t="str">
        <x:v>Parameter_Tampering 99/196</x:v>
      </x:c>
      <x:c r="E266" s="7" t="str">
        <x:v>Código fuente Java</x:v>
      </x:c>
      <x:c r="F266" s="7" t="str"/>
      <x:c r="G266" s="7" t="str">
        <x:v>CWE-472</x:v>
      </x:c>
      <x:c r="H266" s="7" t="str"/>
      <x:c r="I266" s="7" t="n">
        <x:v>20</x:v>
      </x:c>
      <x:c r="J266" s="9" t="str">
        <x:v>PENDIENTE</x:v>
      </x:c>
      <x:c r="K266" s="10" t="n">
        <x:v>47011</x:v>
      </x:c>
      <x:c r="L266" s="7" t="str">
        <x:v>Avance 2028-09-15</x:v>
      </x:c>
      <x:c r="M266" s="8" t="str">
        <x:v>Validar aplicabilidad antes de remediar.</x:v>
      </x:c>
      <x:c r="N266" s="17"/>
      <x:c r="O266" s="17"/>
    </x:row>
    <x:row r="267" ht="15" hidden="0" customHeight="1">
      <x:c r="A267" s="7" t="str">
        <x:v>SIAJ-0005</x:v>
      </x:c>
      <x:c r="B267" s="7" t="str">
        <x:v>SAST</x:v>
      </x:c>
      <x:c r="C267" s="7" t="str">
        <x:v>MEDIUM</x:v>
      </x:c>
      <x:c r="D267" s="8" t="str">
        <x:v>Unsafe_Object_Binding 1/11</x:v>
      </x:c>
      <x:c r="E267" s="7" t="str">
        <x:v>Código fuente Java</x:v>
      </x:c>
      <x:c r="F267" s="7" t="str"/>
      <x:c r="G267" s="7" t="str">
        <x:v>CWE-915</x:v>
      </x:c>
      <x:c r="H267" s="7" t="str"/>
      <x:c r="I267" s="7" t="n">
        <x:v>14</x:v>
      </x:c>
      <x:c r="J267" s="9" t="str">
        <x:v>PENDIENTE</x:v>
      </x:c>
      <x:c r="K267" s="10" t="n">
        <x:v>47011</x:v>
      </x:c>
      <x:c r="L267" s="7" t="str">
        <x:v>Avance 2028-09-15</x:v>
      </x:c>
      <x:c r="M267" s="8" t="str">
        <x:v>Validar aplicabilidad antes de remediar.</x:v>
      </x:c>
      <x:c r="N267" s="17"/>
      <x:c r="O267" s="17"/>
    </x:row>
    <x:row r="268" ht="15" hidden="0" customHeight="1">
      <x:c r="A268" s="7" t="str">
        <x:v>SIAJ-0014</x:v>
      </x:c>
      <x:c r="B268" s="7" t="str">
        <x:v>SAST</x:v>
      </x:c>
      <x:c r="C268" s="7" t="str">
        <x:v>MEDIUM</x:v>
      </x:c>
      <x:c r="D268" s="8" t="str">
        <x:v>Unsafe_Object_Binding 10/11</x:v>
      </x:c>
      <x:c r="E268" s="7" t="str">
        <x:v>Código fuente Java</x:v>
      </x:c>
      <x:c r="F268" s="7" t="str"/>
      <x:c r="G268" s="7" t="str">
        <x:v>CWE-915</x:v>
      </x:c>
      <x:c r="H268" s="7" t="str"/>
      <x:c r="I268" s="7" t="n">
        <x:v>14</x:v>
      </x:c>
      <x:c r="J268" s="9" t="str">
        <x:v>PENDIENTE</x:v>
      </x:c>
      <x:c r="K268" s="10" t="n">
        <x:v>47011</x:v>
      </x:c>
      <x:c r="L268" s="7" t="str">
        <x:v>Avance 2028-09-15</x:v>
      </x:c>
      <x:c r="M268" s="8" t="str">
        <x:v>Validar aplicabilidad antes de remediar.</x:v>
      </x:c>
      <x:c r="N268" s="17"/>
      <x:c r="O268" s="17"/>
    </x:row>
    <x:row r="269" ht="15" hidden="0" customHeight="1">
      <x:c r="A269" s="7" t="str">
        <x:v>SIAJ-0015</x:v>
      </x:c>
      <x:c r="B269" s="7" t="str">
        <x:v>SAST</x:v>
      </x:c>
      <x:c r="C269" s="7" t="str">
        <x:v>MEDIUM</x:v>
      </x:c>
      <x:c r="D269" s="8" t="str">
        <x:v>Unsafe_Object_Binding 11/11</x:v>
      </x:c>
      <x:c r="E269" s="7" t="str">
        <x:v>Código fuente Java</x:v>
      </x:c>
      <x:c r="F269" s="7" t="str"/>
      <x:c r="G269" s="7" t="str">
        <x:v>CWE-915</x:v>
      </x:c>
      <x:c r="H269" s="7" t="str"/>
      <x:c r="I269" s="7" t="n">
        <x:v>14</x:v>
      </x:c>
      <x:c r="J269" s="9" t="str">
        <x:v>PENDIENTE</x:v>
      </x:c>
      <x:c r="K269" s="10" t="n">
        <x:v>47041</x:v>
      </x:c>
      <x:c r="L269" s="7" t="str">
        <x:v>Avance 2028-10-15</x:v>
      </x:c>
      <x:c r="M269" s="8" t="str">
        <x:v>Validar aplicabilidad antes de remediar.</x:v>
      </x:c>
      <x:c r="N269" s="17"/>
      <x:c r="O269" s="17"/>
    </x:row>
    <x:row r="270" ht="15" hidden="0" customHeight="1">
      <x:c r="A270" s="7" t="str">
        <x:v>SIAJ-0006</x:v>
      </x:c>
      <x:c r="B270" s="7" t="str">
        <x:v>SAST</x:v>
      </x:c>
      <x:c r="C270" s="7" t="str">
        <x:v>MEDIUM</x:v>
      </x:c>
      <x:c r="D270" s="8" t="str">
        <x:v>Unsafe_Object_Binding 2/11</x:v>
      </x:c>
      <x:c r="E270" s="7" t="str">
        <x:v>Código fuente Java</x:v>
      </x:c>
      <x:c r="F270" s="7" t="str"/>
      <x:c r="G270" s="7" t="str">
        <x:v>CWE-915</x:v>
      </x:c>
      <x:c r="H270" s="7" t="str"/>
      <x:c r="I270" s="7" t="n">
        <x:v>14</x:v>
      </x:c>
      <x:c r="J270" s="9" t="str">
        <x:v>PENDIENTE</x:v>
      </x:c>
      <x:c r="K270" s="10" t="n">
        <x:v>47041</x:v>
      </x:c>
      <x:c r="L270" s="7" t="str">
        <x:v>Avance 2028-10-15</x:v>
      </x:c>
      <x:c r="M270" s="8" t="str">
        <x:v>Validar aplicabilidad antes de remediar.</x:v>
      </x:c>
      <x:c r="N270" s="17"/>
      <x:c r="O270" s="17"/>
    </x:row>
    <x:row r="271" ht="15" hidden="0" customHeight="1">
      <x:c r="A271" s="7" t="str">
        <x:v>SIAJ-0007</x:v>
      </x:c>
      <x:c r="B271" s="7" t="str">
        <x:v>SAST</x:v>
      </x:c>
      <x:c r="C271" s="7" t="str">
        <x:v>MEDIUM</x:v>
      </x:c>
      <x:c r="D271" s="8" t="str">
        <x:v>Unsafe_Object_Binding 3/11</x:v>
      </x:c>
      <x:c r="E271" s="7" t="str">
        <x:v>Código fuente Java</x:v>
      </x:c>
      <x:c r="F271" s="7" t="str"/>
      <x:c r="G271" s="7" t="str">
        <x:v>CWE-915</x:v>
      </x:c>
      <x:c r="H271" s="7" t="str"/>
      <x:c r="I271" s="7" t="n">
        <x:v>14</x:v>
      </x:c>
      <x:c r="J271" s="9" t="str">
        <x:v>PENDIENTE</x:v>
      </x:c>
      <x:c r="K271" s="10" t="n">
        <x:v>47041</x:v>
      </x:c>
      <x:c r="L271" s="7" t="str">
        <x:v>Avance 2028-10-15</x:v>
      </x:c>
      <x:c r="M271" s="8" t="str">
        <x:v>Validar aplicabilidad antes de remediar.</x:v>
      </x:c>
      <x:c r="N271" s="17"/>
      <x:c r="O271" s="17"/>
    </x:row>
    <x:row r="272" ht="15" hidden="0" customHeight="1">
      <x:c r="A272" s="7" t="str">
        <x:v>SIAJ-0008</x:v>
      </x:c>
      <x:c r="B272" s="7" t="str">
        <x:v>SAST</x:v>
      </x:c>
      <x:c r="C272" s="7" t="str">
        <x:v>MEDIUM</x:v>
      </x:c>
      <x:c r="D272" s="8" t="str">
        <x:v>Unsafe_Object_Binding 4/11</x:v>
      </x:c>
      <x:c r="E272" s="7" t="str">
        <x:v>Código fuente Java</x:v>
      </x:c>
      <x:c r="F272" s="7" t="str"/>
      <x:c r="G272" s="7" t="str">
        <x:v>CWE-915</x:v>
      </x:c>
      <x:c r="H272" s="7" t="str"/>
      <x:c r="I272" s="7" t="n">
        <x:v>14</x:v>
      </x:c>
      <x:c r="J272" s="9" t="str">
        <x:v>PENDIENTE</x:v>
      </x:c>
      <x:c r="K272" s="10" t="n">
        <x:v>47041</x:v>
      </x:c>
      <x:c r="L272" s="7" t="str">
        <x:v>Avance 2028-10-15</x:v>
      </x:c>
      <x:c r="M272" s="8" t="str">
        <x:v>Validar aplicabilidad antes de remediar.</x:v>
      </x:c>
      <x:c r="N272" s="17"/>
      <x:c r="O272" s="17"/>
    </x:row>
    <x:row r="273" ht="15" hidden="0" customHeight="1">
      <x:c r="A273" s="7" t="str">
        <x:v>SIAJ-0009</x:v>
      </x:c>
      <x:c r="B273" s="7" t="str">
        <x:v>SAST</x:v>
      </x:c>
      <x:c r="C273" s="7" t="str">
        <x:v>MEDIUM</x:v>
      </x:c>
      <x:c r="D273" s="8" t="str">
        <x:v>Unsafe_Object_Binding 5/11</x:v>
      </x:c>
      <x:c r="E273" s="7" t="str">
        <x:v>Código fuente Java</x:v>
      </x:c>
      <x:c r="F273" s="7" t="str"/>
      <x:c r="G273" s="7" t="str">
        <x:v>CWE-915</x:v>
      </x:c>
      <x:c r="H273" s="7" t="str"/>
      <x:c r="I273" s="7" t="n">
        <x:v>14</x:v>
      </x:c>
      <x:c r="J273" s="9" t="str">
        <x:v>PENDIENTE</x:v>
      </x:c>
      <x:c r="K273" s="10" t="n">
        <x:v>47041</x:v>
      </x:c>
      <x:c r="L273" s="7" t="str">
        <x:v>Avance 2028-10-15</x:v>
      </x:c>
      <x:c r="M273" s="8" t="str">
        <x:v>Validar aplicabilidad antes de remediar.</x:v>
      </x:c>
      <x:c r="N273" s="17"/>
      <x:c r="O273" s="17"/>
    </x:row>
    <x:row r="274" ht="15" hidden="0" customHeight="1">
      <x:c r="A274" s="7" t="str">
        <x:v>SIAJ-0010</x:v>
      </x:c>
      <x:c r="B274" s="7" t="str">
        <x:v>SAST</x:v>
      </x:c>
      <x:c r="C274" s="7" t="str">
        <x:v>MEDIUM</x:v>
      </x:c>
      <x:c r="D274" s="8" t="str">
        <x:v>Unsafe_Object_Binding 6/11</x:v>
      </x:c>
      <x:c r="E274" s="7" t="str">
        <x:v>Código fuente Java</x:v>
      </x:c>
      <x:c r="F274" s="7" t="str"/>
      <x:c r="G274" s="7" t="str">
        <x:v>CWE-915</x:v>
      </x:c>
      <x:c r="H274" s="7" t="str"/>
      <x:c r="I274" s="7" t="n">
        <x:v>14</x:v>
      </x:c>
      <x:c r="J274" s="9" t="str">
        <x:v>PENDIENTE</x:v>
      </x:c>
      <x:c r="K274" s="10" t="n">
        <x:v>47041</x:v>
      </x:c>
      <x:c r="L274" s="7" t="str">
        <x:v>Avance 2028-10-15</x:v>
      </x:c>
      <x:c r="M274" s="8" t="str">
        <x:v>Validar aplicabilidad antes de remediar.</x:v>
      </x:c>
      <x:c r="N274" s="17"/>
      <x:c r="O274" s="17"/>
    </x:row>
    <x:row r="275" ht="15" hidden="0" customHeight="1">
      <x:c r="A275" s="7" t="str">
        <x:v>SIAJ-0011</x:v>
      </x:c>
      <x:c r="B275" s="7" t="str">
        <x:v>SAST</x:v>
      </x:c>
      <x:c r="C275" s="7" t="str">
        <x:v>MEDIUM</x:v>
      </x:c>
      <x:c r="D275" s="8" t="str">
        <x:v>Unsafe_Object_Binding 7/11</x:v>
      </x:c>
      <x:c r="E275" s="7" t="str">
        <x:v>Código fuente Java</x:v>
      </x:c>
      <x:c r="F275" s="7" t="str"/>
      <x:c r="G275" s="7" t="str">
        <x:v>CWE-915</x:v>
      </x:c>
      <x:c r="H275" s="7" t="str"/>
      <x:c r="I275" s="7" t="n">
        <x:v>14</x:v>
      </x:c>
      <x:c r="J275" s="9" t="str">
        <x:v>PENDIENTE</x:v>
      </x:c>
      <x:c r="K275" s="10" t="n">
        <x:v>47041</x:v>
      </x:c>
      <x:c r="L275" s="7" t="str">
        <x:v>Avance 2028-10-15</x:v>
      </x:c>
      <x:c r="M275" s="8" t="str">
        <x:v>Validar aplicabilidad antes de remediar.</x:v>
      </x:c>
      <x:c r="N275" s="17"/>
      <x:c r="O275" s="17"/>
    </x:row>
    <x:row r="276" ht="15" hidden="0" customHeight="1">
      <x:c r="A276" s="7" t="str">
        <x:v>SIAJ-0012</x:v>
      </x:c>
      <x:c r="B276" s="7" t="str">
        <x:v>SAST</x:v>
      </x:c>
      <x:c r="C276" s="7" t="str">
        <x:v>MEDIUM</x:v>
      </x:c>
      <x:c r="D276" s="8" t="str">
        <x:v>Unsafe_Object_Binding 8/11</x:v>
      </x:c>
      <x:c r="E276" s="7" t="str">
        <x:v>Código fuente Java</x:v>
      </x:c>
      <x:c r="F276" s="7" t="str"/>
      <x:c r="G276" s="7" t="str">
        <x:v>CWE-915</x:v>
      </x:c>
      <x:c r="H276" s="7" t="str"/>
      <x:c r="I276" s="7" t="n">
        <x:v>14</x:v>
      </x:c>
      <x:c r="J276" s="9" t="str">
        <x:v>PENDIENTE</x:v>
      </x:c>
      <x:c r="K276" s="10" t="n">
        <x:v>47041</x:v>
      </x:c>
      <x:c r="L276" s="7" t="str">
        <x:v>Avance 2028-10-15</x:v>
      </x:c>
      <x:c r="M276" s="8" t="str">
        <x:v>Validar aplicabilidad antes de remediar.</x:v>
      </x:c>
      <x:c r="N276" s="17"/>
      <x:c r="O276" s="17"/>
    </x:row>
    <x:row r="277" ht="15" hidden="0" customHeight="1">
      <x:c r="A277" s="7" t="str">
        <x:v>SIAJ-0013</x:v>
      </x:c>
      <x:c r="B277" s="7" t="str">
        <x:v>SAST</x:v>
      </x:c>
      <x:c r="C277" s="7" t="str">
        <x:v>MEDIUM</x:v>
      </x:c>
      <x:c r="D277" s="8" t="str">
        <x:v>Unsafe_Object_Binding 9/11</x:v>
      </x:c>
      <x:c r="E277" s="7" t="str">
        <x:v>Código fuente Java</x:v>
      </x:c>
      <x:c r="F277" s="7" t="str"/>
      <x:c r="G277" s="7" t="str">
        <x:v>CWE-915</x:v>
      </x:c>
      <x:c r="H277" s="7" t="str"/>
      <x:c r="I277" s="7" t="n">
        <x:v>14</x:v>
      </x:c>
      <x:c r="J277" s="9" t="str">
        <x:v>PENDIENTE</x:v>
      </x:c>
      <x:c r="K277" s="10" t="n">
        <x:v>47041</x:v>
      </x:c>
      <x:c r="L277" s="7" t="str">
        <x:v>Avance 2028-10-15</x:v>
      </x:c>
      <x:c r="M277" s="8" t="str">
        <x:v>Validar aplicabilidad antes de remediar.</x:v>
      </x:c>
      <x:c r="N277" s="17"/>
      <x:c r="O277" s="17"/>
    </x:row>
    <x:row r="278" ht="39.599998474121094" hidden="0" customHeight="1">
      <x:c r="A278" s="7" t="str">
        <x:v>SIAJ-0224</x:v>
      </x:c>
      <x:c r="B278" s="7" t="str">
        <x:v>SCA</x:v>
      </x:c>
      <x:c r="C278" s="7" t="str">
        <x:v>MEDIUM</x:v>
      </x:c>
      <x:c r="D278" s="8" t="str">
        <x:v>Dependencia com.fasterxml.jackson.core:jackson-databind-2.18.5</x:v>
      </x:c>
      <x:c r="E278" s="7" t="str">
        <x:v>com.fasterxml.jackson.core:jackson-databind</x:v>
      </x:c>
      <x:c r="F278" s="7" t="str">
        <x:v>2.18.5</x:v>
      </x:c>
      <x:c r="G278" s="7" t="str">
        <x:v>CWE-918</x:v>
      </x:c>
      <x:c r="H278" s="7" t="str">
        <x:v>CVE-2026-54514</x:v>
      </x:c>
      <x:c r="I278" s="7" t="n">
        <x:v>119</x:v>
      </x:c>
      <x:c r="J278" s="9" t="str">
        <x:v>PENDIENTE</x:v>
      </x:c>
      <x:c r="K278" s="10" t="n">
        <x:v>47041</x:v>
      </x:c>
      <x:c r="L278" s="7" t="str">
        <x:v>Avance 2028-10-15</x:v>
      </x:c>
      <x:c r="M278" s="8" t="str">
        <x:v>jackson-databind contains the general-purpose data-binding functionality and tree-mod el for Jackson Data Processor. In versions 2.0.0 prior to 2.18.8, 2.19.0 prior to 2.21.4 and 3</x:v>
      </x:c>
      <x:c r="N278" s="17"/>
      <x:c r="O278" s="17"/>
    </x:row>
    <x:row r="279" ht="39.599998474121094" hidden="0" customHeight="1">
      <x:c r="A279" s="7" t="str">
        <x:v>SIAJ-0225</x:v>
      </x:c>
      <x:c r="B279" s="7" t="str">
        <x:v>SCA</x:v>
      </x:c>
      <x:c r="C279" s="7" t="str">
        <x:v>MEDIUM</x:v>
      </x:c>
      <x:c r="D279" s="8" t="str">
        <x:v>Dependencia com.fasterxml.jackson.core:jackson-databind-2.18.5</x:v>
      </x:c>
      <x:c r="E279" s="7" t="str">
        <x:v>com.fasterxml.jackson.core:jackson-databind</x:v>
      </x:c>
      <x:c r="F279" s="7" t="str">
        <x:v>2.18.5</x:v>
      </x:c>
      <x:c r="G279" s="7" t="str">
        <x:v>CWE-915</x:v>
      </x:c>
      <x:c r="H279" s="7" t="str">
        <x:v>CVE-2026-54515</x:v>
      </x:c>
      <x:c r="I279" s="7" t="n">
        <x:v>119</x:v>
      </x:c>
      <x:c r="J279" s="9" t="str">
        <x:v>PENDIENTE</x:v>
      </x:c>
      <x:c r="K279" s="10" t="n">
        <x:v>47041</x:v>
      </x:c>
      <x:c r="L279" s="7" t="str">
        <x:v>Avance 2028-10-15</x:v>
      </x:c>
      <x:c r="M279" s="8" t="str">
        <x:v>jackson-databind contains the general-purpose data-binding functionality and tree-mod el for Jackson Data Processor. From 2.8.0 prior to 2.18.9, 2.19.0 prior to 2.21.5, and 3.1.0 p</x:v>
      </x:c>
      <x:c r="N279" s="17"/>
      <x:c r="O279" s="17"/>
    </x:row>
    <x:row r="280" ht="39.599998474121094" hidden="0" customHeight="1">
      <x:c r="A280" s="7" t="str">
        <x:v>SIAJ-0226</x:v>
      </x:c>
      <x:c r="B280" s="7" t="str">
        <x:v>SCA</x:v>
      </x:c>
      <x:c r="C280" s="7" t="str">
        <x:v>MEDIUM</x:v>
      </x:c>
      <x:c r="D280" s="8" t="str">
        <x:v>Dependencia com.fasterxml.jackson.core:jackson-databind-2.18.5</x:v>
      </x:c>
      <x:c r="E280" s="7" t="str">
        <x:v>com.fasterxml.jackson.core:jackson-databind</x:v>
      </x:c>
      <x:c r="F280" s="7" t="str">
        <x:v>2.18.5</x:v>
      </x:c>
      <x:c r="G280" s="7" t="str">
        <x:v>CWE-915</x:v>
      </x:c>
      <x:c r="H280" s="7" t="str">
        <x:v>CVE-2026-59888</x:v>
      </x:c>
      <x:c r="I280" s="7" t="n">
        <x:v>120</x:v>
      </x:c>
      <x:c r="J280" s="9" t="str">
        <x:v>PENDIENTE</x:v>
      </x:c>
      <x:c r="K280" s="10" t="n">
        <x:v>47041</x:v>
      </x:c>
      <x:c r="L280" s="7" t="str">
        <x:v>Avance 2028-10-15</x:v>
      </x:c>
      <x:c r="M280" s="8" t="str">
        <x:v>jackson-databind contains the general-purpose data-binding functionality and tree-mod el for Jackson Data Processor. From 2.15.0 until 2.18.8, 2.21.4, and 3.1.4, Java Records using</x:v>
      </x:c>
      <x:c r="N280" s="17"/>
      <x:c r="O280" s="17"/>
    </x:row>
    <x:row r="281" ht="39.599998474121094" hidden="0" customHeight="1">
      <x:c r="A281" s="7" t="str">
        <x:v>SIAJ-0227</x:v>
      </x:c>
      <x:c r="B281" s="7" t="str">
        <x:v>SCA</x:v>
      </x:c>
      <x:c r="C281" s="7" t="str">
        <x:v>MEDIUM</x:v>
      </x:c>
      <x:c r="D281" s="8" t="str">
        <x:v>Dependencia com.fasterxml.jackson.core:jackson-databind-2.18.5</x:v>
      </x:c>
      <x:c r="E281" s="7" t="str">
        <x:v>com.fasterxml.jackson.core:jackson-databind</x:v>
      </x:c>
      <x:c r="F281" s="7" t="str">
        <x:v>2.18.5</x:v>
      </x:c>
      <x:c r="G281" s="7" t="str">
        <x:v>CWE-863</x:v>
      </x:c>
      <x:c r="H281" s="7" t="str">
        <x:v>CVE-2026-59889</x:v>
      </x:c>
      <x:c r="I281" s="7" t="n">
        <x:v>120</x:v>
      </x:c>
      <x:c r="J281" s="9" t="str">
        <x:v>PENDIENTE</x:v>
      </x:c>
      <x:c r="K281" s="10" t="n">
        <x:v>47041</x:v>
      </x:c>
      <x:c r="L281" s="7" t="str">
        <x:v>Avance 2028-10-15</x:v>
      </x:c>
      <x:c r="M281" s="8" t="str">
        <x:v>jackson-databind contains the general-purpose data-binding functionality and tree-mod el for Jackson Data Processor. From 2.18.0 until 2.18.9, 2.21.5, 2.22.1, 3.1.5, and 3.2.1, Unw</x:v>
      </x:c>
      <x:c r="N281" s="17"/>
      <x:c r="O281" s="17"/>
    </x:row>
    <x:row r="282" ht="39.599998474121094" hidden="0" customHeight="1">
      <x:c r="A282" s="7" t="str">
        <x:v>SIAJ-0258</x:v>
      </x:c>
      <x:c r="B282" s="7" t="str">
        <x:v>SCA</x:v>
      </x:c>
      <x:c r="C282" s="7" t="str">
        <x:v>MEDIUM</x:v>
      </x:c>
      <x:c r="D282" s="8" t="str">
        <x:v>Dependencia io.netty:netty-codec-4.1.110.Final</x:v>
      </x:c>
      <x:c r="E282" s="7" t="str">
        <x:v>io.netty:netty-codec</x:v>
      </x:c>
      <x:c r="F282" s="7" t="str">
        <x:v>4.1.110.Final</x:v>
      </x:c>
      <x:c r="G282" s="7" t="str">
        <x:v>CWE-409</x:v>
      </x:c>
      <x:c r="H282" s="7" t="str">
        <x:v>CVE-2025-58057</x:v>
      </x:c>
      <x:c r="I282" s="7" t="n">
        <x:v>131</x:v>
      </x:c>
      <x:c r="J282" s="9" t="str">
        <x:v>PENDIENTE</x:v>
      </x:c>
      <x:c r="K282" s="10" t="n">
        <x:v>47041</x:v>
      </x:c>
      <x:c r="L282" s="7" t="str">
        <x:v>Avance 2028-10-15</x:v>
      </x:c>
      <x:c r="M282" s="8" t="str">
        <x:v>Netty is an asynchronous event-driven network application framework for rapid develop ment of maintainable high performance protocol servers &amp; clients. In affected versions, when s</x:v>
      </x:c>
      <x:c r="N282" s="17"/>
      <x:c r="O282" s="17"/>
    </x:row>
    <x:row r="283" ht="39.599998474121094" hidden="0" customHeight="1">
      <x:c r="A283" s="7" t="str">
        <x:v>SIAJ-0336</x:v>
      </x:c>
      <x:c r="B283" s="7" t="str">
        <x:v>SCA</x:v>
      </x:c>
      <x:c r="C283" s="7" t="str">
        <x:v>MEDIUM</x:v>
      </x:c>
      <x:c r="D283" s="8" t="str">
        <x:v>Dependencia io.netty:netty-codec-4.1.93.Final</x:v>
      </x:c>
      <x:c r="E283" s="7" t="str">
        <x:v>io.netty:netty-codec</x:v>
      </x:c>
      <x:c r="F283" s="7" t="str">
        <x:v>4.1.93.Final</x:v>
      </x:c>
      <x:c r="G283" s="7" t="str">
        <x:v>CWE-409</x:v>
      </x:c>
      <x:c r="H283" s="7" t="str">
        <x:v>CVE-2025-58057</x:v>
      </x:c>
      <x:c r="I283" s="7" t="n">
        <x:v>158</x:v>
      </x:c>
      <x:c r="J283" s="9" t="str">
        <x:v>PENDIENTE</x:v>
      </x:c>
      <x:c r="K283" s="10" t="n">
        <x:v>47041</x:v>
      </x:c>
      <x:c r="L283" s="7" t="str">
        <x:v>Avance 2028-10-15</x:v>
      </x:c>
      <x:c r="M283" s="8" t="str">
        <x:v>Netty is an asynchronous event-driven network application framework for rapid develop ment of maintainable high performance protocol servers &amp; clients. In affected versions, when s</x:v>
      </x:c>
      <x:c r="N283" s="17"/>
      <x:c r="O283" s="17"/>
    </x:row>
    <x:row r="284" ht="39.599998474121094" hidden="0" customHeight="1">
      <x:c r="A284" s="7" t="str">
        <x:v>SIAJ-0278</x:v>
      </x:c>
      <x:c r="B284" s="7" t="str">
        <x:v>SCA</x:v>
      </x:c>
      <x:c r="C284" s="7" t="str">
        <x:v>MEDIUM</x:v>
      </x:c>
      <x:c r="D284" s="8" t="str">
        <x:v>Dependencia io.netty:netty-codec-http-4.1.110.Final</x:v>
      </x:c>
      <x:c r="E284" s="7" t="str">
        <x:v>io.netty:netty-codec-http</x:v>
      </x:c>
      <x:c r="F284" s="7" t="str">
        <x:v>4.1.110.Final</x:v>
      </x:c>
      <x:c r="G284" s="7" t="str">
        <x:v>CWE-409</x:v>
      </x:c>
      <x:c r="H284" s="7" t="str">
        <x:v>CVE-2025-58057</x:v>
      </x:c>
      <x:c r="I284" s="7" t="n">
        <x:v>138</x:v>
      </x:c>
      <x:c r="J284" s="9" t="str">
        <x:v>PENDIENTE</x:v>
      </x:c>
      <x:c r="K284" s="10" t="n">
        <x:v>47041</x:v>
      </x:c>
      <x:c r="L284" s="7" t="str">
        <x:v>Avance 2028-10-15</x:v>
      </x:c>
      <x:c r="M284" s="8" t="str">
        <x:v>Netty is an asynchronous event-driven network application framework for rapid develop ment of maintainable high performance protocol servers &amp; clients. In affected versions, when s</x:v>
      </x:c>
      <x:c r="N284" s="17"/>
      <x:c r="O284" s="17"/>
    </x:row>
    <x:row r="285" ht="39.599998474121094" hidden="0" customHeight="1">
      <x:c r="A285" s="7" t="str">
        <x:v>SIAJ-0279</x:v>
      </x:c>
      <x:c r="B285" s="7" t="str">
        <x:v>SCA</x:v>
      </x:c>
      <x:c r="C285" s="7" t="str">
        <x:v>MEDIUM</x:v>
      </x:c>
      <x:c r="D285" s="8" t="str">
        <x:v>Dependencia io.netty:netty-codec-http-4.1.110.Final</x:v>
      </x:c>
      <x:c r="E285" s="7" t="str">
        <x:v>io.netty:netty-codec-http</x:v>
      </x:c>
      <x:c r="F285" s="7" t="str">
        <x:v>4.1.110.Final</x:v>
      </x:c>
      <x:c r="G285" s="7" t="str">
        <x:v>CWE-93</x:v>
      </x:c>
      <x:c r="H285" s="7" t="str">
        <x:v>CVE-2025-67735</x:v>
      </x:c>
      <x:c r="I285" s="7" t="n">
        <x:v>139</x:v>
      </x:c>
      <x:c r="J285" s="9" t="str">
        <x:v>PENDIENTE</x:v>
      </x:c>
      <x:c r="K285" s="10" t="n">
        <x:v>47041</x:v>
      </x:c>
      <x:c r="L285" s="7" t="str">
        <x:v>Avance 2028-10-15</x:v>
      </x:c>
      <x:c r="M285" s="8" t="str">
        <x:v>Netty is an asynchronous, event-driven network application framework. In versions prior t o 4.1.129.Final and 4.2.x prior to 4.2.8.Final, the `io.netty.handler.codec.http.HttpReque</x:v>
      </x:c>
      <x:c r="N285" s="17"/>
      <x:c r="O285" s="17"/>
    </x:row>
    <x:row r="286" ht="39.599998474121094" hidden="0" customHeight="1">
      <x:c r="A286" s="7" t="str">
        <x:v>SIAJ-0292</x:v>
      </x:c>
      <x:c r="B286" s="7" t="str">
        <x:v>SCA</x:v>
      </x:c>
      <x:c r="C286" s="7" t="str">
        <x:v>MEDIUM</x:v>
      </x:c>
      <x:c r="D286" s="8" t="str">
        <x:v>Dependencia io.netty:netty-codec-http-4.1.128.Final</x:v>
      </x:c>
      <x:c r="E286" s="7" t="str">
        <x:v>io.netty:netty-codec-http</x:v>
      </x:c>
      <x:c r="F286" s="7" t="str">
        <x:v>4.1.128.Final</x:v>
      </x:c>
      <x:c r="G286" s="7" t="str">
        <x:v>CWE-93</x:v>
      </x:c>
      <x:c r="H286" s="7" t="str">
        <x:v>CVE-2025-67735</x:v>
      </x:c>
      <x:c r="I286" s="7" t="n">
        <x:v>143</x:v>
      </x:c>
      <x:c r="J286" s="9" t="str">
        <x:v>PENDIENTE</x:v>
      </x:c>
      <x:c r="K286" s="10" t="n">
        <x:v>47041</x:v>
      </x:c>
      <x:c r="L286" s="7" t="str">
        <x:v>Avance 2028-10-15</x:v>
      </x:c>
      <x:c r="M286" s="8" t="str">
        <x:v>Netty is an asynchronous, event-driven network application framework. In versions prior t o 4.1.129.Final and 4.2.x prior to 4.2.8.Final, the `io.netty.handler.codec.http.HttpReque</x:v>
      </x:c>
      <x:c r="N286" s="17"/>
      <x:c r="O286" s="17"/>
    </x:row>
    <x:row r="287" ht="52.79999923706055" hidden="0" customHeight="1">
      <x:c r="A287" s="7" t="str">
        <x:v>SIAJ-0314</x:v>
      </x:c>
      <x:c r="B287" s="7" t="str">
        <x:v>SCA</x:v>
      </x:c>
      <x:c r="C287" s="7" t="str">
        <x:v>MEDIUM</x:v>
      </x:c>
      <x:c r="D287" s="8" t="str">
        <x:v>Dependencia io.netty:netty-codec-http-4.1.93.Final</x:v>
      </x:c>
      <x:c r="E287" s="7" t="str">
        <x:v>io.netty:netty-codec-http</x:v>
      </x:c>
      <x:c r="F287" s="7" t="str">
        <x:v>4.1.93.Final</x:v>
      </x:c>
      <x:c r="G287" s="7" t="str">
        <x:v>CWE-770</x:v>
      </x:c>
      <x:c r="H287" s="7" t="str">
        <x:v>CVE-2024-29025</x:v>
      </x:c>
      <x:c r="I287" s="7" t="n">
        <x:v>151</x:v>
      </x:c>
      <x:c r="J287" s="9" t="str">
        <x:v>PENDIENTE</x:v>
      </x:c>
      <x:c r="K287" s="10" t="n">
        <x:v>47072</x:v>
      </x:c>
      <x:c r="L287" s="7" t="str">
        <x:v>Avance 2028-11-15</x:v>
      </x:c>
      <x:c r="M287" s="8" t="str">
        <x:v>Netty is an asynchronous event-driven network application framework for the rapid devel opment of maintainable high-performance protocol servers &amp; clients. The "HttpPostRequestDeco</x:v>
      </x:c>
      <x:c r="N287" s="17"/>
      <x:c r="O287" s="17"/>
    </x:row>
    <x:row r="288" ht="39.599998474121094" hidden="0" customHeight="1">
      <x:c r="A288" s="7" t="str">
        <x:v>SIAJ-0315</x:v>
      </x:c>
      <x:c r="B288" s="7" t="str">
        <x:v>SCA</x:v>
      </x:c>
      <x:c r="C288" s="7" t="str">
        <x:v>MEDIUM</x:v>
      </x:c>
      <x:c r="D288" s="8" t="str">
        <x:v>Dependencia io.netty:netty-codec-http-4.1.93.Final</x:v>
      </x:c>
      <x:c r="E288" s="7" t="str">
        <x:v>io.netty:netty-codec-http</x:v>
      </x:c>
      <x:c r="F288" s="7" t="str">
        <x:v>4.1.93.Final</x:v>
      </x:c>
      <x:c r="G288" s="7" t="str">
        <x:v>CWE-409</x:v>
      </x:c>
      <x:c r="H288" s="7" t="str">
        <x:v>CVE-2025-58057</x:v>
      </x:c>
      <x:c r="I288" s="7" t="n">
        <x:v>151</x:v>
      </x:c>
      <x:c r="J288" s="9" t="str">
        <x:v>PENDIENTE</x:v>
      </x:c>
      <x:c r="K288" s="10" t="n">
        <x:v>47072</x:v>
      </x:c>
      <x:c r="L288" s="7" t="str">
        <x:v>Avance 2028-11-15</x:v>
      </x:c>
      <x:c r="M288" s="8" t="str">
        <x:v>Netty is an asynchronous event-driven network application framework for rapid develop ment of maintainable high performance protocol servers &amp; clients. In affected versions, when s</x:v>
      </x:c>
      <x:c r="N288" s="17"/>
      <x:c r="O288" s="17"/>
    </x:row>
    <x:row r="289" ht="39.599998474121094" hidden="0" customHeight="1">
      <x:c r="A289" s="7" t="str">
        <x:v>SIAJ-0316</x:v>
      </x:c>
      <x:c r="B289" s="7" t="str">
        <x:v>SCA</x:v>
      </x:c>
      <x:c r="C289" s="7" t="str">
        <x:v>MEDIUM</x:v>
      </x:c>
      <x:c r="D289" s="8" t="str">
        <x:v>Dependencia io.netty:netty-codec-http-4.1.93.Final</x:v>
      </x:c>
      <x:c r="E289" s="7" t="str">
        <x:v>io.netty:netty-codec-http</x:v>
      </x:c>
      <x:c r="F289" s="7" t="str">
        <x:v>4.1.93.Final</x:v>
      </x:c>
      <x:c r="G289" s="7" t="str">
        <x:v>CWE-93</x:v>
      </x:c>
      <x:c r="H289" s="7" t="str">
        <x:v>CVE-2025-67735</x:v>
      </x:c>
      <x:c r="I289" s="7" t="n">
        <x:v>152</x:v>
      </x:c>
      <x:c r="J289" s="9" t="str">
        <x:v>PENDIENTE</x:v>
      </x:c>
      <x:c r="K289" s="10" t="n">
        <x:v>47072</x:v>
      </x:c>
      <x:c r="L289" s="7" t="str">
        <x:v>Avance 2028-11-15</x:v>
      </x:c>
      <x:c r="M289" s="8" t="str">
        <x:v>Netty is an asynchronous, event-driven network application framework. In versions prior t o 4.1.129.Final and 4.2.x prior to 4.2.8.Final, the `io.netty.handler.codec.http.HttpReque</x:v>
      </x:c>
      <x:c r="N289" s="17"/>
      <x:c r="O289" s="17"/>
    </x:row>
    <x:row r="290" ht="39.599998474121094" hidden="0" customHeight="1">
      <x:c r="A290" s="7" t="str">
        <x:v>SIAJ-0326</x:v>
      </x:c>
      <x:c r="B290" s="7" t="str">
        <x:v>SCA</x:v>
      </x:c>
      <x:c r="C290" s="7" t="str">
        <x:v>MEDIUM</x:v>
      </x:c>
      <x:c r="D290" s="8" t="str">
        <x:v>Dependencia io.netty:netty-codec-http2-4.1.110.Final</x:v>
      </x:c>
      <x:c r="E290" s="7" t="str">
        <x:v>io.netty:netty-codec-http2</x:v>
      </x:c>
      <x:c r="F290" s="7" t="str">
        <x:v>4.1.110.Final</x:v>
      </x:c>
      <x:c r="G290" s="7" t="str">
        <x:v>CWE-409</x:v>
      </x:c>
      <x:c r="H290" s="7" t="str">
        <x:v>CVE-2025-58057</x:v>
      </x:c>
      <x:c r="I290" s="7" t="n">
        <x:v>155</x:v>
      </x:c>
      <x:c r="J290" s="9" t="str">
        <x:v>PENDIENTE</x:v>
      </x:c>
      <x:c r="K290" s="10" t="n">
        <x:v>47072</x:v>
      </x:c>
      <x:c r="L290" s="7" t="str">
        <x:v>Avance 2028-11-15</x:v>
      </x:c>
      <x:c r="M290" s="8" t="str">
        <x:v>Netty is an asynchronous event-driven network application framework for rapid develop ment of maintainable high performance protocol servers &amp; clients. In affected versions, when s</x:v>
      </x:c>
      <x:c r="N290" s="17"/>
      <x:c r="O290" s="17"/>
    </x:row>
    <x:row r="291" ht="39.599998474121094" hidden="0" customHeight="1">
      <x:c r="A291" s="7" t="str">
        <x:v>SIAJ-0333</x:v>
      </x:c>
      <x:c r="B291" s="7" t="str">
        <x:v>SCA</x:v>
      </x:c>
      <x:c r="C291" s="7" t="str">
        <x:v>MEDIUM</x:v>
      </x:c>
      <x:c r="D291" s="8" t="str">
        <x:v>Dependencia io.netty:netty-codec-http2-4.1.93.Final</x:v>
      </x:c>
      <x:c r="E291" s="7" t="str">
        <x:v>io.netty:netty-codec-http2</x:v>
      </x:c>
      <x:c r="F291" s="7" t="str">
        <x:v>4.1.93.Final</x:v>
      </x:c>
      <x:c r="G291" s="7" t="str">
        <x:v>CWE-409</x:v>
      </x:c>
      <x:c r="H291" s="7" t="str">
        <x:v>CVE-2025-58057</x:v>
      </x:c>
      <x:c r="I291" s="7" t="n">
        <x:v>157</x:v>
      </x:c>
      <x:c r="J291" s="9" t="str">
        <x:v>PENDIENTE</x:v>
      </x:c>
      <x:c r="K291" s="10" t="n">
        <x:v>47072</x:v>
      </x:c>
      <x:c r="L291" s="7" t="str">
        <x:v>Avance 2028-11-15</x:v>
      </x:c>
      <x:c r="M291" s="8" t="str">
        <x:v>Netty is an asynchronous event-driven network application framework for rapid develop ment of maintainable high performance protocol servers &amp; clients. In affected versions, when s</x:v>
      </x:c>
      <x:c r="N291" s="17"/>
      <x:c r="O291" s="17"/>
    </x:row>
    <x:row r="292" ht="39.599998474121094" hidden="0" customHeight="1">
      <x:c r="A292" s="7" t="str">
        <x:v>SIAJ-0358</x:v>
      </x:c>
      <x:c r="B292" s="7" t="str">
        <x:v>SCA</x:v>
      </x:c>
      <x:c r="C292" s="7" t="str">
        <x:v>MEDIUM</x:v>
      </x:c>
      <x:c r="D292" s="8" t="str">
        <x:v>Dependencia io.netty:netty-common-4.1.110.Final</x:v>
      </x:c>
      <x:c r="E292" s="7" t="str">
        <x:v>io.netty:netty-common</x:v>
      </x:c>
      <x:c r="F292" s="7" t="str">
        <x:v>4.1.110.Final</x:v>
      </x:c>
      <x:c r="G292" s="7" t="str">
        <x:v>CWE-400</x:v>
      </x:c>
      <x:c r="H292" s="7" t="str">
        <x:v>CVE-2024-47535</x:v>
      </x:c>
      <x:c r="I292" s="7" t="n">
        <x:v>167</x:v>
      </x:c>
      <x:c r="J292" s="9" t="str">
        <x:v>PENDIENTE</x:v>
      </x:c>
      <x:c r="K292" s="10" t="n">
        <x:v>47072</x:v>
      </x:c>
      <x:c r="L292" s="7" t="str">
        <x:v>Avance 2028-11-15</x:v>
      </x:c>
      <x:c r="M292" s="8" t="str">
        <x:v>Netty is an asynchronous event-driven network application framework for rapidly develo ping maintainable high-performance protocol servers &amp; clients. An unsafe reading of the envir</x:v>
      </x:c>
      <x:c r="N292" s="17"/>
      <x:c r="O292" s="17"/>
    </x:row>
    <x:row r="293" ht="39.599998474121094" hidden="0" customHeight="1">
      <x:c r="A293" s="7" t="str">
        <x:v>SIAJ-0359</x:v>
      </x:c>
      <x:c r="B293" s="7" t="str">
        <x:v>SCA</x:v>
      </x:c>
      <x:c r="C293" s="7" t="str">
        <x:v>MEDIUM</x:v>
      </x:c>
      <x:c r="D293" s="8" t="str">
        <x:v>Dependencia io.netty:netty-common-4.1.93.Final</x:v>
      </x:c>
      <x:c r="E293" s="7" t="str">
        <x:v>io.netty:netty-common</x:v>
      </x:c>
      <x:c r="F293" s="7" t="str">
        <x:v>4.1.93.Final</x:v>
      </x:c>
      <x:c r="G293" s="7" t="str">
        <x:v>CWE-400</x:v>
      </x:c>
      <x:c r="H293" s="7" t="str">
        <x:v>CVE-2024-47535</x:v>
      </x:c>
      <x:c r="I293" s="7" t="n">
        <x:v>168</x:v>
      </x:c>
      <x:c r="J293" s="9" t="str">
        <x:v>PENDIENTE</x:v>
      </x:c>
      <x:c r="K293" s="10" t="n">
        <x:v>47072</x:v>
      </x:c>
      <x:c r="L293" s="7" t="str">
        <x:v>Avance 2028-11-15</x:v>
      </x:c>
      <x:c r="M293" s="8" t="str">
        <x:v>Netty is an asynchronous event-driven network application framework for rapidly develo ping maintainable high-performance protocol servers &amp; clients. An unsafe reading of the envir</x:v>
      </x:c>
      <x:c r="N293" s="17"/>
      <x:c r="O293" s="17"/>
    </x:row>
    <x:row r="294" ht="39.599998474121094" hidden="0" customHeight="1">
      <x:c r="A294" s="7" t="str">
        <x:v>SIAJ-0348</x:v>
      </x:c>
      <x:c r="B294" s="7" t="str">
        <x:v>SCA</x:v>
      </x:c>
      <x:c r="C294" s="7" t="str">
        <x:v>MEDIUM</x:v>
      </x:c>
      <x:c r="D294" s="8" t="str">
        <x:v>Dependencia io.netty:netty-handler-4.1.93.Final</x:v>
      </x:c>
      <x:c r="E294" s="7" t="str">
        <x:v>io.netty:netty-handler</x:v>
      </x:c>
      <x:c r="F294" s="7" t="str">
        <x:v>4.1.93.Final</x:v>
      </x:c>
      <x:c r="G294" s="7" t="str">
        <x:v>CWE-770</x:v>
      </x:c>
      <x:c r="H294" s="7" t="str">
        <x:v>CVE-2023-34462</x:v>
      </x:c>
      <x:c r="I294" s="7" t="n">
        <x:v>164</x:v>
      </x:c>
      <x:c r="J294" s="9" t="str">
        <x:v>PENDIENTE</x:v>
      </x:c>
      <x:c r="K294" s="10" t="n">
        <x:v>47072</x:v>
      </x:c>
      <x:c r="L294" s="7" t="str">
        <x:v>Avance 2028-11-15</x:v>
      </x:c>
      <x:c r="M294" s="8" t="str">
        <x:v>Netty is an asynchronous event-driven network application framework for rapid develop ment of maintainable high performance protocol servers &amp; clients. In versions through 4.1.93.F</x:v>
      </x:c>
      <x:c r="N294" s="17"/>
      <x:c r="O294" s="17"/>
    </x:row>
    <x:row r="295" ht="39.599998474121094" hidden="0" customHeight="1">
      <x:c r="A295" s="7" t="str">
        <x:v>SIAJ-0362</x:v>
      </x:c>
      <x:c r="B295" s="7" t="str">
        <x:v>SCA</x:v>
      </x:c>
      <x:c r="C295" s="7" t="str">
        <x:v>MEDIUM</x:v>
      </x:c>
      <x:c r="D295" s="8" t="str">
        <x:v>Dependencia org.apache.commons:commons-compress-1.21</x:v>
      </x:c>
      <x:c r="E295" s="7" t="str">
        <x:v>org.apache.commons:commons-compress</x:v>
      </x:c>
      <x:c r="F295" s="7" t="n">
        <x:v>1.21</x:v>
      </x:c>
      <x:c r="G295" s="7" t="str">
        <x:v>CWE-835</x:v>
      </x:c>
      <x:c r="H295" s="7" t="str">
        <x:v>CVE-2024-25710</x:v>
      </x:c>
      <x:c r="I295" s="7" t="n">
        <x:v>170</x:v>
      </x:c>
      <x:c r="J295" s="9" t="str">
        <x:v>PENDIENTE</x:v>
      </x:c>
      <x:c r="K295" s="10" t="n">
        <x:v>47072</x:v>
      </x:c>
      <x:c r="L295" s="7" t="str">
        <x:v>Avance 2028-11-15</x:v>
      </x:c>
      <x:c r="M295" s="8" t="str">
        <x:v>Loop with Unreachable Exit Condition ('Infinite Loop') vulnerability in Apache Commons C ompress. This issue affects Apache Commons Compress 1.3 through 1.25.0.</x:v>
      </x:c>
      <x:c r="N295" s="17"/>
      <x:c r="O295" s="17"/>
    </x:row>
    <x:row r="296" ht="39.599998474121094" hidden="0" customHeight="1">
      <x:c r="A296" s="7" t="str">
        <x:v>SIAJ-0363</x:v>
      </x:c>
      <x:c r="B296" s="7" t="str">
        <x:v>SCA</x:v>
      </x:c>
      <x:c r="C296" s="7" t="str">
        <x:v>MEDIUM</x:v>
      </x:c>
      <x:c r="D296" s="8" t="str">
        <x:v>Dependencia org.apache.commons:commons-compress-1.21</x:v>
      </x:c>
      <x:c r="E296" s="7" t="str">
        <x:v>org.apache.commons:commons-compress</x:v>
      </x:c>
      <x:c r="F296" s="7" t="n">
        <x:v>1.21</x:v>
      </x:c>
      <x:c r="G296" s="7" t="str">
        <x:v>CWE-770</x:v>
      </x:c>
      <x:c r="H296" s="7" t="str">
        <x:v>CVE-2024-26308</x:v>
      </x:c>
      <x:c r="I296" s="7" t="n">
        <x:v>170</x:v>
      </x:c>
      <x:c r="J296" s="9" t="str">
        <x:v>PENDIENTE</x:v>
      </x:c>
      <x:c r="K296" s="10" t="n">
        <x:v>47072</x:v>
      </x:c>
      <x:c r="L296" s="7" t="str">
        <x:v>Avance 2028-11-15</x:v>
      </x:c>
      <x:c r="M296" s="8" t="str">
        <x:v>Allocation of Resources Without Limits or Throttling Vulnerability in Apache Commons Co mpress. This issue affects Apache Commons Compress versions 1.21-RC1 through 1.25.0.</x:v>
      </x:c>
      <x:c r="N296" s="17"/>
      <x:c r="O296" s="17"/>
    </x:row>
    <x:row r="297" ht="39.599998474121094" hidden="0" customHeight="1">
      <x:c r="A297" s="7" t="str">
        <x:v>SIAJ-0360</x:v>
      </x:c>
      <x:c r="B297" s="7" t="str">
        <x:v>SCA</x:v>
      </x:c>
      <x:c r="C297" s="7" t="str">
        <x:v>MEDIUM</x:v>
      </x:c>
      <x:c r="D297" s="8" t="str">
        <x:v>Dependencia org.apache.logging.log4j:log4j-api-2.24.3</x:v>
      </x:c>
      <x:c r="E297" s="7" t="str">
        <x:v>org.apache.logging.log4j:log4j-api</x:v>
      </x:c>
      <x:c r="F297" s="7" t="str">
        <x:v>2.24.3</x:v>
      </x:c>
      <x:c r="G297" s="7" t="str">
        <x:v>CWE-116</x:v>
      </x:c>
      <x:c r="H297" s="7" t="str">
        <x:v>CVE-2026-49844</x:v>
      </x:c>
      <x:c r="I297" s="7" t="n">
        <x:v>168</x:v>
      </x:c>
      <x:c r="J297" s="9" t="str">
        <x:v>PENDIENTE</x:v>
      </x:c>
      <x:c r="K297" s="10" t="n">
        <x:v>47072</x:v>
      </x:c>
      <x:c r="L297" s="7" t="str">
        <x:v>Avance 2028-11-15</x:v>
      </x:c>
      <x:c r="M297" s="8" t="str">
        <x:v>Improper encoding of non-finite floating-point values during MapMessage JSON serializa tion in Apache Log4j API produces output that is not valid JSON. This issue affects Apache Lo</x:v>
      </x:c>
      <x:c r="N297" s="17"/>
      <x:c r="O297" s="17"/>
    </x:row>
    <x:row r="298" ht="39.599998474121094" hidden="0" customHeight="1">
      <x:c r="A298" s="7" t="str">
        <x:v>SIAJ-0361</x:v>
      </x:c>
      <x:c r="B298" s="7" t="str">
        <x:v>SCA</x:v>
      </x:c>
      <x:c r="C298" s="7" t="str">
        <x:v>MEDIUM</x:v>
      </x:c>
      <x:c r="D298" s="8" t="str">
        <x:v>Dependencia org.apache.poi:poi-ooxml-5.2.3</x:v>
      </x:c>
      <x:c r="E298" s="7" t="str">
        <x:v>org.apache.poi:poi-ooxml</x:v>
      </x:c>
      <x:c r="F298" s="7" t="str">
        <x:v>5.2.3</x:v>
      </x:c>
      <x:c r="G298" s="7" t="str">
        <x:v>CWE-20</x:v>
      </x:c>
      <x:c r="H298" s="7" t="str">
        <x:v>CVE-2025-31672</x:v>
      </x:c>
      <x:c r="I298" s="7" t="n">
        <x:v>169</x:v>
      </x:c>
      <x:c r="J298" s="9" t="str">
        <x:v>PENDIENTE</x:v>
      </x:c>
      <x:c r="K298" s="10" t="n">
        <x:v>47072</x:v>
      </x:c>
      <x:c r="L298" s="7" t="str">
        <x:v>Avance 2028-11-15</x:v>
      </x:c>
      <x:c r="M298" s="8" t="str">
        <x:v>Improper Input Validation vulnerability in Apache POI. The issue affects the parsing of OO XML format files like xlsx, docx and pptx. These file formats are basically zip files and</x:v>
      </x:c>
      <x:c r="N298" s="17"/>
      <x:c r="O298" s="17"/>
    </x:row>
    <x:row r="299" ht="39.599998474121094" hidden="0" customHeight="1">
      <x:c r="A299" s="7" t="str">
        <x:v>SIAJ-0234</x:v>
      </x:c>
      <x:c r="B299" s="7" t="str">
        <x:v>SCA</x:v>
      </x:c>
      <x:c r="C299" s="7" t="str">
        <x:v>MEDIUM</x:v>
      </x:c>
      <x:c r="D299" s="8" t="str">
        <x:v>Dependencia org.apache.tomcat.embed:tomcat-embed-core-10.1.49</x:v>
      </x:c>
      <x:c r="E299" s="7" t="str">
        <x:v>org.apache.tomcat.embed:tomcat-embed-core</x:v>
      </x:c>
      <x:c r="F299" s="7" t="str">
        <x:v>10.1.49</x:v>
      </x:c>
      <x:c r="G299" s="7" t="str">
        <x:v>CWE-20</x:v>
      </x:c>
      <x:c r="H299" s="7" t="str">
        <x:v>CVE-2025-66614</x:v>
      </x:c>
      <x:c r="I299" s="7" t="n">
        <x:v>123</x:v>
      </x:c>
      <x:c r="J299" s="9" t="str">
        <x:v>PENDIENTE</x:v>
      </x:c>
      <x:c r="K299" s="10" t="n">
        <x:v>47072</x:v>
      </x:c>
      <x:c r="L299" s="7" t="str">
        <x:v>Avance 2028-11-15</x:v>
      </x:c>
      <x:c r="M299" s="8" t="str">
        <x:v>Improper Input Validation vulnerability. This issue affects Apache Tomcat: from 11.0.0-M1 through 11.0.14, 10.0.0-M1 through 10.1.49, and 8.5.0 through 9.0.112. Older EOL versions</x:v>
      </x:c>
      <x:c r="N299" s="17"/>
      <x:c r="O299" s="17"/>
    </x:row>
    <x:row r="300" ht="39.599998474121094" hidden="0" customHeight="1">
      <x:c r="A300" s="7" t="str">
        <x:v>SIAJ-0235</x:v>
      </x:c>
      <x:c r="B300" s="7" t="str">
        <x:v>SCA</x:v>
      </x:c>
      <x:c r="C300" s="7" t="str">
        <x:v>MEDIUM</x:v>
      </x:c>
      <x:c r="D300" s="8" t="str">
        <x:v>Dependencia org.apache.tomcat.embed:tomcat-embed-core-10.1.49</x:v>
      </x:c>
      <x:c r="E300" s="7" t="str">
        <x:v>org.apache.tomcat.embed:tomcat-embed-core</x:v>
      </x:c>
      <x:c r="F300" s="7" t="str">
        <x:v>10.1.49</x:v>
      </x:c>
      <x:c r="G300" s="7" t="str">
        <x:v>CWE-20</x:v>
      </x:c>
      <x:c r="H300" s="7" t="str">
        <x:v>CVE-2026-24734</x:v>
      </x:c>
      <x:c r="I300" s="7" t="n">
        <x:v>123</x:v>
      </x:c>
      <x:c r="J300" s="9" t="str">
        <x:v>PENDIENTE</x:v>
      </x:c>
      <x:c r="K300" s="10" t="n">
        <x:v>47072</x:v>
      </x:c>
      <x:c r="L300" s="7" t="str">
        <x:v>Avance 2028-11-15</x:v>
      </x:c>
      <x:c r="M300" s="8" t="str">
        <x:v>Improper Input Validation vulnerability in Apache Tomcat Native, Apache Tomcat. When u sing an OCSP responder, Tomcat Native (and Tomcat's FFM port of the Tomcat Native code) did n</x:v>
      </x:c>
      <x:c r="N300" s="17"/>
      <x:c r="O300" s="17"/>
    </x:row>
    <x:row r="301" ht="39.599998474121094" hidden="0" customHeight="1">
      <x:c r="A301" s="7" t="str">
        <x:v>SIAJ-0237</x:v>
      </x:c>
      <x:c r="B301" s="7" t="str">
        <x:v>SCA</x:v>
      </x:c>
      <x:c r="C301" s="7" t="str">
        <x:v>MEDIUM</x:v>
      </x:c>
      <x:c r="D301" s="8" t="str">
        <x:v>Dependencia org.apache.tomcat.embed:tomcat-embed-core-10.1.49</x:v>
      </x:c>
      <x:c r="E301" s="7" t="str">
        <x:v>org.apache.tomcat.embed:tomcat-embed-core</x:v>
      </x:c>
      <x:c r="F301" s="7" t="str">
        <x:v>10.1.49</x:v>
      </x:c>
      <x:c r="G301" s="7" t="str">
        <x:v>CWE-80</x:v>
      </x:c>
      <x:c r="H301" s="7" t="str">
        <x:v>CVE-2026-50229</x:v>
      </x:c>
      <x:c r="I301" s="7" t="n">
        <x:v>124</x:v>
      </x:c>
      <x:c r="J301" s="9" t="str">
        <x:v>PENDIENTE</x:v>
      </x:c>
      <x:c r="K301" s="10" t="n">
        <x:v>47072</x:v>
      </x:c>
      <x:c r="L301" s="7" t="str">
        <x:v>Avance 2028-11-15</x:v>
      </x:c>
      <x:c r="M301" s="8" t="str">
        <x:v>Improper Neutralization of Script-Related HTML Tags in a Web Page (Basic XSS) vulnera bility in the number guess example for Apache Tomcat. This issue affects Apache Tomcat: from 1</x:v>
      </x:c>
      <x:c r="N301" s="17"/>
      <x:c r="O301" s="17"/>
    </x:row>
    <x:row r="302" ht="39.599998474121094" hidden="0" customHeight="1">
      <x:c r="A302" s="7" t="str">
        <x:v>SIAJ-0303</x:v>
      </x:c>
      <x:c r="B302" s="7" t="str">
        <x:v>SCA</x:v>
      </x:c>
      <x:c r="C302" s="7" t="str">
        <x:v>MEDIUM</x:v>
      </x:c>
      <x:c r="D302" s="8" t="str">
        <x:v>Dependencia org.asynchttpclient:async-http-client-2.10.4</x:v>
      </x:c>
      <x:c r="E302" s="7" t="str">
        <x:v>org.asynchttpclient:async-http-client</x:v>
      </x:c>
      <x:c r="F302" s="7" t="str">
        <x:v>2.10.4</x:v>
      </x:c>
      <x:c r="G302" s="7" t="str">
        <x:v>CWE-1275</x:v>
      </x:c>
      <x:c r="H302" s="7" t="str">
        <x:v>CVE-2026-55688</x:v>
      </x:c>
      <x:c r="I302" s="7" t="n">
        <x:v>147</x:v>
      </x:c>
      <x:c r="J302" s="9" t="str">
        <x:v>PENDIENTE</x:v>
      </x:c>
      <x:c r="K302" s="10" t="n">
        <x:v>47072</x:v>
      </x:c>
      <x:c r="L302" s="7" t="str">
        <x:v>Avance 2028-11-15</x:v>
      </x:c>
      <x:c r="M302" s="8" t="str">
        <x:v>The AsyncHttpClient (AHC) library allows Java applications to easily execute HTTP reque sts and asynchronously process HTTP responses. In versions from 2.x prior to 2.16.0 and from</x:v>
      </x:c>
      <x:c r="N302" s="17"/>
      <x:c r="O302" s="17"/>
    </x:row>
    <x:row r="303" ht="39.599998474121094" hidden="0" customHeight="1">
      <x:c r="A303" s="7" t="str">
        <x:v>SIAJ-0245</x:v>
      </x:c>
      <x:c r="B303" s="7" t="str">
        <x:v>SCA</x:v>
      </x:c>
      <x:c r="C303" s="7" t="str">
        <x:v>MEDIUM</x:v>
      </x:c>
      <x:c r="D303" s="8" t="str">
        <x:v>Dependencia org.bouncycastle:bcprov-jdk18on-1.78</x:v>
      </x:c>
      <x:c r="E303" s="7" t="str">
        <x:v>org.bouncycastle:bcprov-jdk18on</x:v>
      </x:c>
      <x:c r="F303" s="7" t="n">
        <x:v>1.78</x:v>
      </x:c>
      <x:c r="G303" s="7" t="str">
        <x:v>CWE-770</x:v>
      </x:c>
      <x:c r="H303" s="7" t="str">
        <x:v>CVE-2025-8916</x:v>
      </x:c>
      <x:c r="I303" s="7" t="n">
        <x:v>127</x:v>
      </x:c>
      <x:c r="J303" s="9" t="str">
        <x:v>PENDIENTE</x:v>
      </x:c>
      <x:c r="K303" s="10" t="n">
        <x:v>47072</x:v>
      </x:c>
      <x:c r="L303" s="7" t="str">
        <x:v>Avance 2028-11-15</x:v>
      </x:c>
      <x:c r="M303" s="8" t="str">
        <x:v>Allocation of Resources Without Limits or Throttling vulnerability in Legion of the Bouncy Castle Inc. Bouncy Castle for Java bcpkix, bcprov, bcpkix-fips on All (API modules) allow</x:v>
      </x:c>
      <x:c r="N303" s="17"/>
      <x:c r="O303" s="17"/>
    </x:row>
    <x:row r="304" ht="39.599998474121094" hidden="0" customHeight="1">
      <x:c r="A304" s="7" t="str">
        <x:v>SIAJ-0246</x:v>
      </x:c>
      <x:c r="B304" s="7" t="str">
        <x:v>SCA</x:v>
      </x:c>
      <x:c r="C304" s="7" t="str">
        <x:v>MEDIUM</x:v>
      </x:c>
      <x:c r="D304" s="8" t="str">
        <x:v>Dependencia org.bouncycastle:bcprov-jdk18on-1.78</x:v>
      </x:c>
      <x:c r="E304" s="7" t="str">
        <x:v>org.bouncycastle:bcprov-jdk18on</x:v>
      </x:c>
      <x:c r="F304" s="7" t="n">
        <x:v>1.78</x:v>
      </x:c>
      <x:c r="G304" s="7" t="str">
        <x:v>CWE-90</x:v>
      </x:c>
      <x:c r="H304" s="7" t="str">
        <x:v>CVE-2026-0636</x:v>
      </x:c>
      <x:c r="I304" s="7" t="n">
        <x:v>127</x:v>
      </x:c>
      <x:c r="J304" s="9" t="str">
        <x:v>PENDIENTE</x:v>
      </x:c>
      <x:c r="K304" s="10" t="n">
        <x:v>47072</x:v>
      </x:c>
      <x:c r="L304" s="7" t="str">
        <x:v>Avance 2028-11-15</x:v>
      </x:c>
      <x:c r="M304" s="8" t="str">
        <x:v>Improper neutralization of special elements used in an LDAP query ('LDAP injection') vuln erability in Legion of the Bouncy Castle Inc. BC-JAVA bcprov on all (prov modules). This v</x:v>
      </x:c>
      <x:c r="N304" s="17"/>
      <x:c r="O304" s="17"/>
    </x:row>
    <x:row r="305" ht="39.599998474121094" hidden="0" customHeight="1">
      <x:c r="A305" s="7" t="str">
        <x:v>SIAJ-0352</x:v>
      </x:c>
      <x:c r="B305" s="7" t="str">
        <x:v>SCA</x:v>
      </x:c>
      <x:c r="C305" s="7" t="str">
        <x:v>MEDIUM</x:v>
      </x:c>
      <x:c r="D305" s="8" t="str">
        <x:v>Dependencia org.springframework:spring-expression-6.2.14</x:v>
      </x:c>
      <x:c r="E305" s="7" t="str">
        <x:v>org.springframework:spring-expression</x:v>
      </x:c>
      <x:c r="F305" s="7" t="str">
        <x:v>6.2.14</x:v>
      </x:c>
      <x:c r="G305" s="7" t="str">
        <x:v>CWE-863</x:v>
      </x:c>
      <x:c r="H305" s="7" t="str">
        <x:v>CVE-2026-41852</x:v>
      </x:c>
      <x:c r="I305" s="7" t="n">
        <x:v>165</x:v>
      </x:c>
      <x:c r="J305" s="9" t="str">
        <x:v>PENDIENTE</x:v>
      </x:c>
      <x:c r="K305" s="10" t="n">
        <x:v>47102</x:v>
      </x:c>
      <x:c r="L305" s="7" t="str">
        <x:v>Avance 2028-12-15</x:v>
      </x:c>
      <x:c r="M305" s="8" t="str">
        <x:v>A vulnerability in Spring Expression Language (SpEL) evaluation logic allows for arbitrary zero-argument method invocation, even within restricted or read-only contexts, which may</x:v>
      </x:c>
      <x:c r="N305" s="17"/>
      <x:c r="O305" s="17"/>
    </x:row>
    <x:row r="306" ht="39.599998474121094" hidden="0" customHeight="1">
      <x:c r="A306" s="7" t="str">
        <x:v>SIAJ-0365</x:v>
      </x:c>
      <x:c r="B306" s="7" t="str">
        <x:v>SCA</x:v>
      </x:c>
      <x:c r="C306" s="7" t="str">
        <x:v>MEDIUM</x:v>
      </x:c>
      <x:c r="D306" s="8" t="str">
        <x:v>Dependencia org.springframework:spring-web-6.2.14</x:v>
      </x:c>
      <x:c r="E306" s="7" t="str">
        <x:v>org.springframework:spring-web</x:v>
      </x:c>
      <x:c r="F306" s="7" t="str">
        <x:v>6.2.14</x:v>
      </x:c>
      <x:c r="G306" s="7" t="str">
        <x:v>CWE-401</x:v>
      </x:c>
      <x:c r="H306" s="7" t="str">
        <x:v>CVE-2026-41840</x:v>
      </x:c>
      <x:c r="I306" s="7" t="n">
        <x:v>170</x:v>
      </x:c>
      <x:c r="J306" s="9" t="str">
        <x:v>PENDIENTE</x:v>
      </x:c>
      <x:c r="K306" s="10" t="n">
        <x:v>47102</x:v>
      </x:c>
      <x:c r="L306" s="7" t="str">
        <x:v>Avance 2028-12-15</x:v>
      </x:c>
      <x:c r="M306" s="8" t="str">
        <x:v>Spring WebFlux applications are vulnerable to Denial of Service (DoS) attacks when proc essing multipart requests. Affected versions: Spring Framework 7.0.0 through 7.0.7, 6.2.0 th</x:v>
      </x:c>
      <x:c r="N306" s="17"/>
      <x:c r="O306" s="17"/>
    </x:row>
    <x:row r="307" ht="52.79999923706055" hidden="0" customHeight="1">
      <x:c r="A307" s="7" t="str">
        <x:v>SIAJ-0366</x:v>
      </x:c>
      <x:c r="B307" s="7" t="str">
        <x:v>SCA</x:v>
      </x:c>
      <x:c r="C307" s="7" t="str">
        <x:v>MEDIUM</x:v>
      </x:c>
      <x:c r="D307" s="8" t="str">
        <x:v>Dependencia org.springframework:spring-web-6.2.14</x:v>
      </x:c>
      <x:c r="E307" s="7" t="str">
        <x:v>org.springframework:spring-web</x:v>
      </x:c>
      <x:c r="F307" s="7" t="str">
        <x:v>6.2.14</x:v>
      </x:c>
      <x:c r="G307" s="7" t="str">
        <x:v>CWE-79</x:v>
      </x:c>
      <x:c r="H307" s="7" t="str">
        <x:v>CVE-2026-41845</x:v>
      </x:c>
      <x:c r="I307" s="7" t="n">
        <x:v>171</x:v>
      </x:c>
      <x:c r="J307" s="9" t="str">
        <x:v>PENDIENTE</x:v>
      </x:c>
      <x:c r="K307" s="10" t="n">
        <x:v>47102</x:v>
      </x:c>
      <x:c r="L307" s="7" t="str">
        <x:v>Avance 2028-12-15</x:v>
      </x:c>
      <x:c r="M307" s="8" t="str">
        <x:v>Due to incorrect escaping, the use of "JavaScriptUtils.javaScriptEscape()" may lead to Ja vaScript code injection in the browser, potentially resulting in a cross-site scripting (X</x:v>
      </x:c>
      <x:c r="N307" s="17"/>
      <x:c r="O307" s="17"/>
    </x:row>
    <x:row r="308" ht="39.599998474121094" hidden="0" customHeight="1">
      <x:c r="A308" s="7" t="str">
        <x:v>SIAJ-0367</x:v>
      </x:c>
      <x:c r="B308" s="7" t="str">
        <x:v>SCA</x:v>
      </x:c>
      <x:c r="C308" s="7" t="str">
        <x:v>MEDIUM</x:v>
      </x:c>
      <x:c r="D308" s="8" t="str">
        <x:v>Dependencia org.springframework:spring-web-6.2.14</x:v>
      </x:c>
      <x:c r="E308" s="7" t="str">
        <x:v>org.springframework:spring-web</x:v>
      </x:c>
      <x:c r="F308" s="7" t="str">
        <x:v>6.2.14</x:v>
      </x:c>
      <x:c r="G308" s="7" t="str">
        <x:v>CWE-444</x:v>
      </x:c>
      <x:c r="H308" s="7" t="str">
        <x:v>CVE-2026-41853</x:v>
      </x:c>
      <x:c r="I308" s="7" t="n">
        <x:v>171</x:v>
      </x:c>
      <x:c r="J308" s="9" t="str">
        <x:v>PENDIENTE</x:v>
      </x:c>
      <x:c r="K308" s="10" t="n">
        <x:v>47102</x:v>
      </x:c>
      <x:c r="L308" s="7" t="str">
        <x:v>Avance 2028-12-15</x:v>
      </x:c>
      <x:c r="M308" s="8" t="str">
        <x:v>Spring MVC and WebFlux applications are vulnerable to Multipart request smuggling atta cks. This issue affects Spring Framework versions from 5.3.0 through 5.3.48, 6.1.0 through 6.</x:v>
      </x:c>
      <x:c r="N308" s="17"/>
      <x:c r="O308" s="17"/>
    </x:row>
    <x:row r="309" ht="39.599998474121094" hidden="0" customHeight="1">
      <x:c r="A309" s="7" t="str">
        <x:v>SIAJ-0368</x:v>
      </x:c>
      <x:c r="B309" s="7" t="str">
        <x:v>SCA</x:v>
      </x:c>
      <x:c r="C309" s="7" t="str">
        <x:v>MEDIUM</x:v>
      </x:c>
      <x:c r="D309" s="8" t="str">
        <x:v>Dependencia org.springframework:spring-web-6.2.14</x:v>
      </x:c>
      <x:c r="E309" s="7" t="str">
        <x:v>org.springframework:spring-web</x:v>
      </x:c>
      <x:c r="F309" s="7" t="str">
        <x:v>6.2.14</x:v>
      </x:c>
      <x:c r="G309" s="7" t="str">
        <x:v>CWE-918</x:v>
      </x:c>
      <x:c r="H309" s="7" t="str">
        <x:v>CVE-2026-41854</x:v>
      </x:c>
      <x:c r="I309" s="7" t="n">
        <x:v>171</x:v>
      </x:c>
      <x:c r="J309" s="9" t="str">
        <x:v>PENDIENTE</x:v>
      </x:c>
      <x:c r="K309" s="10" t="n">
        <x:v>47102</x:v>
      </x:c>
      <x:c r="L309" s="7" t="str">
        <x:v>Avance 2028-12-15</x:v>
      </x:c>
      <x:c r="M309" s="8" t="str">
        <x:v>Due to incorrect host parsing, applications that rely on UriComponentsBuilder to parse an d validate an externally provided URL string may be exposed to a server-side request forge</x:v>
      </x:c>
      <x:c r="N309" s="17"/>
      <x:c r="O309" s="17"/>
    </x:row>
    <x:row r="310" ht="39.599998474121094" hidden="0" customHeight="1">
      <x:c r="A310" s="7" t="str">
        <x:v>SIAJ-0250</x:v>
      </x:c>
      <x:c r="B310" s="7" t="str">
        <x:v>SCA</x:v>
      </x:c>
      <x:c r="C310" s="7" t="str">
        <x:v>MEDIUM</x:v>
      </x:c>
      <x:c r="D310" s="8" t="str">
        <x:v>Dependencia org.springframework:spring-webmvc-6.2.14</x:v>
      </x:c>
      <x:c r="E310" s="7" t="str">
        <x:v>org.springframework:spring-webmvc</x:v>
      </x:c>
      <x:c r="F310" s="7" t="str">
        <x:v>6.2.14</x:v>
      </x:c>
      <x:c r="G310" s="7" t="str">
        <x:v>CWE-400</x:v>
      </x:c>
      <x:c r="H310" s="7" t="str">
        <x:v>CVE-2026-22745</x:v>
      </x:c>
      <x:c r="I310" s="7" t="n">
        <x:v>128</x:v>
      </x:c>
      <x:c r="J310" s="9" t="str">
        <x:v>PENDIENTE</x:v>
      </x:c>
      <x:c r="K310" s="10" t="n">
        <x:v>47102</x:v>
      </x:c>
      <x:c r="L310" s="7" t="str">
        <x:v>Avance 2028-12-15</x:v>
      </x:c>
      <x:c r="M310" s="8" t="str">
        <x:v>Spring MVC and WebFlux applications are vulnerable to Denial-of-Service (DoS) attacks when resolving static resources. More precisely, an application can be vulnerable when all the</x:v>
      </x:c>
      <x:c r="N310" s="17"/>
      <x:c r="O310" s="17"/>
    </x:row>
    <x:row r="311" ht="39.599998474121094" hidden="0" customHeight="1">
      <x:c r="A311" s="7" t="str">
        <x:v>SIAJ-0251</x:v>
      </x:c>
      <x:c r="B311" s="7" t="str">
        <x:v>SCA</x:v>
      </x:c>
      <x:c r="C311" s="7" t="str">
        <x:v>MEDIUM</x:v>
      </x:c>
      <x:c r="D311" s="8" t="str">
        <x:v>Dependencia org.springframework:spring-webmvc-6.2.14</x:v>
      </x:c>
      <x:c r="E311" s="7" t="str">
        <x:v>org.springframework:spring-webmvc</x:v>
      </x:c>
      <x:c r="F311" s="7" t="str">
        <x:v>6.2.14</x:v>
      </x:c>
      <x:c r="G311" s="7" t="str">
        <x:v>CWE-22</x:v>
      </x:c>
      <x:c r="H311" s="7" t="str">
        <x:v>CVE-2026-22737</x:v>
      </x:c>
      <x:c r="I311" s="7" t="n">
        <x:v>129</x:v>
      </x:c>
      <x:c r="J311" s="9" t="str">
        <x:v>PENDIENTE</x:v>
      </x:c>
      <x:c r="K311" s="10" t="n">
        <x:v>47102</x:v>
      </x:c>
      <x:c r="L311" s="7" t="str">
        <x:v>Avance 2028-12-15</x:v>
      </x:c>
      <x:c r="M311" s="8" t="str">
        <x:v>Use of Java scripting engine enabled (e.g. JRuby, Jython) template views in Spring MVC and Spring WebFlux applications can result in disclosure of content from files outside the co</x:v>
      </x:c>
      <x:c r="N311" s="17"/>
      <x:c r="O311" s="17"/>
    </x:row>
    <x:row r="312" ht="39.599998474121094" hidden="0" customHeight="1">
      <x:c r="A312" s="7" t="str">
        <x:v>SIAJ-0252</x:v>
      </x:c>
      <x:c r="B312" s="7" t="str">
        <x:v>SCA</x:v>
      </x:c>
      <x:c r="C312" s="7" t="str">
        <x:v>MEDIUM</x:v>
      </x:c>
      <x:c r="D312" s="8" t="str">
        <x:v>Dependencia org.springframework:spring-webmvc-6.2.14</x:v>
      </x:c>
      <x:c r="E312" s="7" t="str">
        <x:v>org.springframework:spring-webmvc</x:v>
      </x:c>
      <x:c r="F312" s="7" t="str">
        <x:v>6.2.14</x:v>
      </x:c>
      <x:c r="G312" s="7" t="str">
        <x:v>CWE-22</x:v>
      </x:c>
      <x:c r="H312" s="7" t="str">
        <x:v>CVE-2026-41843</x:v>
      </x:c>
      <x:c r="I312" s="7" t="n">
        <x:v>129</x:v>
      </x:c>
      <x:c r="J312" s="9" t="str">
        <x:v>PENDIENTE</x:v>
      </x:c>
      <x:c r="K312" s="10" t="n">
        <x:v>47102</x:v>
      </x:c>
      <x:c r="L312" s="7" t="str">
        <x:v>Avance 2028-12-15</x:v>
      </x:c>
      <x:c r="M312" s="8" t="str">
        <x:v>Spring MVC and WebFlux applications are vulnerable to Path Traversal attacks when reso lving static resources. This issue affects Spring Framework versions from 5.3.0 through 5.3.4</x:v>
      </x:c>
      <x:c r="N312" s="17"/>
      <x:c r="O312" s="17"/>
    </x:row>
    <x:row r="313" ht="39.599998474121094" hidden="0" customHeight="1">
      <x:c r="A313" s="7" t="str">
        <x:v>SIAJ-0253</x:v>
      </x:c>
      <x:c r="B313" s="7" t="str">
        <x:v>SCA</x:v>
      </x:c>
      <x:c r="C313" s="7" t="str">
        <x:v>MEDIUM</x:v>
      </x:c>
      <x:c r="D313" s="8" t="str">
        <x:v>Dependencia org.springframework:spring-webmvc-6.2.14</x:v>
      </x:c>
      <x:c r="E313" s="7" t="str">
        <x:v>org.springframework:spring-webmvc</x:v>
      </x:c>
      <x:c r="F313" s="7" t="str">
        <x:v>6.2.14</x:v>
      </x:c>
      <x:c r="G313" s="7" t="str">
        <x:v>CWE-524</x:v>
      </x:c>
      <x:c r="H313" s="7" t="str">
        <x:v>CVE-2026-41841</x:v>
      </x:c>
      <x:c r="I313" s="7" t="n">
        <x:v>129</x:v>
      </x:c>
      <x:c r="J313" s="9" t="str">
        <x:v>PENDIENTE</x:v>
      </x:c>
      <x:c r="K313" s="10" t="n">
        <x:v>47102</x:v>
      </x:c>
      <x:c r="L313" s="7" t="str">
        <x:v>Avance 2028-12-15</x:v>
      </x:c>
      <x:c r="M313" s="8" t="str">
        <x:v>Spring MVC and WebFlux applications are vulnerable to Information Disclosure attacks w hen resolving static resources. This issue affects Spring Framework versions from 5.3.0 throu</x:v>
      </x:c>
      <x:c r="N313" s="17"/>
      <x:c r="O313" s="17"/>
    </x:row>
    <x:row r="314" ht="39.599998474121094" hidden="0" customHeight="1">
      <x:c r="A314" s="7" t="str">
        <x:v>SIAJ-0254</x:v>
      </x:c>
      <x:c r="B314" s="7" t="str">
        <x:v>SCA</x:v>
      </x:c>
      <x:c r="C314" s="7" t="str">
        <x:v>MEDIUM</x:v>
      </x:c>
      <x:c r="D314" s="8" t="str">
        <x:v>Dependencia org.springframework:spring-webmvc-6.2.14</x:v>
      </x:c>
      <x:c r="E314" s="7" t="str">
        <x:v>org.springframework:spring-webmvc</x:v>
      </x:c>
      <x:c r="F314" s="7" t="str">
        <x:v>6.2.14</x:v>
      </x:c>
      <x:c r="G314" s="7" t="str">
        <x:v>CWE-601</x:v>
      </x:c>
      <x:c r="H314" s="7" t="str">
        <x:v>CVE-2026-41844</x:v>
      </x:c>
      <x:c r="I314" s="7" t="n">
        <x:v>130</x:v>
      </x:c>
      <x:c r="J314" s="9" t="str">
        <x:v>PENDIENTE</x:v>
      </x:c>
      <x:c r="K314" s="10" t="n">
        <x:v>47102</x:v>
      </x:c>
      <x:c r="L314" s="7" t="str">
        <x:v>Avance 2028-12-15</x:v>
      </x:c>
      <x:c r="M314" s="8" t="str">
        <x:v>A Spring MVC or Spring WebFlux application which configures a mapping for "/**" where the view name is not explicitly specified allows an attacker to craft a link resulting in a 30</x:v>
      </x:c>
      <x:c r="N314" s="17"/>
      <x:c r="O314" s="17"/>
    </x:row>
    <x:row r="315" ht="39.599998474121094" hidden="0" customHeight="1">
      <x:c r="A315" s="7" t="str">
        <x:v>SIAJ-0255</x:v>
      </x:c>
      <x:c r="B315" s="7" t="str">
        <x:v>SCA</x:v>
      </x:c>
      <x:c r="C315" s="7" t="str">
        <x:v>MEDIUM</x:v>
      </x:c>
      <x:c r="D315" s="8" t="str">
        <x:v>Dependencia org.springframework:spring-webmvc-6.2.14</x:v>
      </x:c>
      <x:c r="E315" s="7" t="str">
        <x:v>org.springframework:spring-webmvc</x:v>
      </x:c>
      <x:c r="F315" s="7" t="str">
        <x:v>6.2.14</x:v>
      </x:c>
      <x:c r="G315" s="7" t="str">
        <x:v>CWE-79</x:v>
      </x:c>
      <x:c r="H315" s="7" t="str">
        <x:v>CVE-2026-41846</x:v>
      </x:c>
      <x:c r="I315" s="7" t="n">
        <x:v>130</x:v>
      </x:c>
      <x:c r="J315" s="9" t="str">
        <x:v>PENDIENTE</x:v>
      </x:c>
      <x:c r="K315" s="10" t="n">
        <x:v>47102</x:v>
      </x:c>
      <x:c r="L315" s="7" t="str">
        <x:v>Avance 2028-12-15</x:v>
      </x:c>
      <x:c r="M315" s="8" t="str">
        <x:v>Spring MVC applications which accept user-supplied values in the 'cssClass', 'cssErrorCla ss', or 'cssStyle' attributes of JSP form tags allow arbitrary HTML/JavaScript code inject</x:v>
      </x:c>
      <x:c r="N315" s="17"/>
      <x:c r="O315" s="17"/>
    </x:row>
    <x:row r="316" ht="39.599998474121094" hidden="0" customHeight="1">
      <x:c r="A316" s="7" t="str">
        <x:v>SIAJ-0355</x:v>
      </x:c>
      <x:c r="B316" s="7" t="str">
        <x:v>SCA</x:v>
      </x:c>
      <x:c r="C316" s="7" t="str">
        <x:v>MEDIUM</x:v>
      </x:c>
      <x:c r="D316" s="8" t="str">
        <x:v>Dependencia org.springframework.boot:spring-boot-autoconfigure-3.4.12</x:v>
      </x:c>
      <x:c r="E316" s="7" t="str">
        <x:v>org.springframework.boot:spring-boot-autoconfigure</x:v>
      </x:c>
      <x:c r="F316" s="7" t="str">
        <x:v>3.4.12</x:v>
      </x:c>
      <x:c r="G316" s="7" t="str">
        <x:v>CWE-377</x:v>
      </x:c>
      <x:c r="H316" s="7" t="str">
        <x:v>CVE-2026-41001</x:v>
      </x:c>
      <x:c r="I316" s="7" t="n">
        <x:v>166</x:v>
      </x:c>
      <x:c r="J316" s="9" t="str">
        <x:v>PENDIENTE</x:v>
      </x:c>
      <x:c r="K316" s="10" t="n">
        <x:v>47102</x:v>
      </x:c>
      <x:c r="L316" s="7" t="str">
        <x:v>Avance 2028-12-15</x:v>
      </x:c>
      <x:c r="M316" s="8" t="str">
        <x:v>Spring Boot's ArtemisEmbeddedConfigurationFactory uses a fixed, static path for the em bedded Artemis message broker's data directory when no explicit path is configured. A local a</x:v>
      </x:c>
      <x:c r="N316" s="17"/>
      <x:c r="O316" s="17"/>
    </x:row>
    <x:row r="317" ht="39.599998474121094" hidden="0" customHeight="1">
      <x:c r="A317" s="7" t="str">
        <x:v>SIAJ-0356</x:v>
      </x:c>
      <x:c r="B317" s="7" t="str">
        <x:v>SCA</x:v>
      </x:c>
      <x:c r="C317" s="7" t="str">
        <x:v>MEDIUM</x:v>
      </x:c>
      <x:c r="D317" s="8" t="str">
        <x:v>Dependencia org.springframework.boot:spring-boot-autoconfigure-3.4.12</x:v>
      </x:c>
      <x:c r="E317" s="7" t="str">
        <x:v>org.springframework.boot:spring-boot-autoconfigure</x:v>
      </x:c>
      <x:c r="F317" s="7" t="str">
        <x:v>3.4.12</x:v>
      </x:c>
      <x:c r="G317" s="7" t="str">
        <x:v>CWE-295</x:v>
      </x:c>
      <x:c r="H317" s="7" t="str">
        <x:v>CVE-2026-40992</x:v>
      </x:c>
      <x:c r="I317" s="7" t="n">
        <x:v>167</x:v>
      </x:c>
      <x:c r="J317" s="9" t="str">
        <x:v>PENDIENTE</x:v>
      </x:c>
      <x:c r="K317" s="10" t="n">
        <x:v>47102</x:v>
      </x:c>
      <x:c r="L317" s="7" t="str">
        <x:v>Avance 2028-12-15</x:v>
      </x:c>
      <x:c r="M317" s="8" t="str">
        <x:v>Spring Boot's Mail auto-configuration does not enable hostname verification. Application s that set the relevant JavaMail property, such as spring.mail.properties.mail.smtp.ssl.che</x:v>
      </x:c>
      <x:c r="N317" s="17"/>
      <x:c r="O317" s="17"/>
    </x:row>
    <x:row r="318" ht="39.599998474121094" hidden="0" customHeight="1">
      <x:c r="A318" s="7" t="str">
        <x:v>SIAJ-0319</x:v>
      </x:c>
      <x:c r="B318" s="7" t="str">
        <x:v>SCA</x:v>
      </x:c>
      <x:c r="C318" s="7" t="str">
        <x:v>MEDIUM</x:v>
      </x:c>
      <x:c r="D318" s="8" t="str">
        <x:v>Dependencia org.springframework.data:spring-data-commons-3.4.12</x:v>
      </x:c>
      <x:c r="E318" s="7" t="str">
        <x:v>org.springframework.data:spring-data-commons</x:v>
      </x:c>
      <x:c r="F318" s="7" t="str">
        <x:v>3.4.12</x:v>
      </x:c>
      <x:c r="G318" s="7" t="str">
        <x:v>CWE-400</x:v>
      </x:c>
      <x:c r="H318" s="7" t="str">
        <x:v>CVE-2026-41711</x:v>
      </x:c>
      <x:c r="I318" s="7" t="n">
        <x:v>153</x:v>
      </x:c>
      <x:c r="J318" s="9" t="str">
        <x:v>PENDIENTE</x:v>
      </x:c>
      <x:c r="K318" s="10" t="n">
        <x:v>47102</x:v>
      </x:c>
      <x:c r="L318" s="7" t="str">
        <x:v>Avance 2028-12-15</x:v>
      </x:c>
      <x:c r="M318" s="8" t="str">
        <x:v>Applications using Spring Data Commons may be vulnerable to a Denial of Service (DoS) attack leading to a StackOverflowException when parsing Sort parameters. Affected versions: Sp</x:v>
      </x:c>
      <x:c r="N318" s="17"/>
      <x:c r="O318" s="17"/>
    </x:row>
    <x:row r="319" ht="39.599998474121094" hidden="0" customHeight="1">
      <x:c r="A319" s="7" t="str">
        <x:v>SIAJ-0320</x:v>
      </x:c>
      <x:c r="B319" s="7" t="str">
        <x:v>SCA</x:v>
      </x:c>
      <x:c r="C319" s="7" t="str">
        <x:v>MEDIUM</x:v>
      </x:c>
      <x:c r="D319" s="8" t="str">
        <x:v>Dependencia org.springframework.data:spring-data-commons-3.4.12</x:v>
      </x:c>
      <x:c r="E319" s="7" t="str">
        <x:v>org.springframework.data:spring-data-commons</x:v>
      </x:c>
      <x:c r="F319" s="7" t="str">
        <x:v>3.4.12</x:v>
      </x:c>
      <x:c r="G319" s="7" t="str">
        <x:v>CWE-400</x:v>
      </x:c>
      <x:c r="H319" s="7" t="str">
        <x:v>CVE-2026-41721</x:v>
      </x:c>
      <x:c r="I319" s="7" t="n">
        <x:v>153</x:v>
      </x:c>
      <x:c r="J319" s="9" t="str">
        <x:v>PENDIENTE</x:v>
      </x:c>
      <x:c r="K319" s="10" t="n">
        <x:v>47102</x:v>
      </x:c>
      <x:c r="L319" s="7" t="str">
        <x:v>Avance 2028-12-15</x:v>
      </x:c>
      <x:c r="M319" s="8" t="str">
        <x:v>Spring Data Commons contains a vulnerability that can lead to a Denial of Service (DoS) condition if Spring Data Web Support is enabled in conjunction with a Controller method usin</x:v>
      </x:c>
      <x:c r="N319" s="17"/>
      <x:c r="O319" s="17"/>
    </x:row>
    <x:row r="320" ht="39.599998474121094" hidden="0" customHeight="1">
      <x:c r="A320" s="7" t="str">
        <x:v>SIAJ-0364</x:v>
      </x:c>
      <x:c r="B320" s="7" t="str">
        <x:v>SCA</x:v>
      </x:c>
      <x:c r="C320" s="7" t="str">
        <x:v>MEDIUM</x:v>
      </x:c>
      <x:c r="D320" s="8" t="str">
        <x:v>Dependencia org.springframework.security:spring-security-core-6.4.13</x:v>
      </x:c>
      <x:c r="E320" s="7" t="str">
        <x:v>org.springframework.security:spring-security-core</x:v>
      </x:c>
      <x:c r="F320" s="7" t="str">
        <x:v>6.4.13</x:v>
      </x:c>
      <x:c r="G320" s="7" t="str">
        <x:v>CWE-79</x:v>
      </x:c>
      <x:c r="H320" s="7" t="str">
        <x:v>CVE-2026-41003</x:v>
      </x:c>
      <x:c r="I320" s="7" t="n">
        <x:v>170</x:v>
      </x:c>
      <x:c r="J320" s="9" t="str">
        <x:v>PENDIENTE</x:v>
      </x:c>
      <x:c r="K320" s="10" t="n">
        <x:v>47102</x:v>
      </x:c>
      <x:c r="L320" s="7" t="str">
        <x:v>Avance 2028-12-15</x:v>
      </x:c>
      <x:c r="M320" s="8" t="str">
        <x:v>An attacker able to influence values in RelyingPartyRegistration may be able to run arbitr ary code on HTML forms generated by Spring Security filters. Affected versions: Spring Se</x:v>
      </x:c>
      <x:c r="N320" s="17"/>
      <x:c r="O320" s="17"/>
    </x:row>
    <x:row r="321" ht="52.79999923706055" hidden="0" customHeight="1">
      <x:c r="A321" s="7" t="str">
        <x:v>SIAJ-0294</x:v>
      </x:c>
      <x:c r="B321" s="7" t="str">
        <x:v>SCA</x:v>
      </x:c>
      <x:c r="C321" s="7" t="str">
        <x:v>MEDIUM</x:v>
      </x:c>
      <x:c r="D321" s="8" t="str">
        <x:v>Dependencia org.springframework.security:spring-security-web-6.4.13</x:v>
      </x:c>
      <x:c r="E321" s="7" t="str">
        <x:v>org.springframework.security:spring-security-web</x:v>
      </x:c>
      <x:c r="F321" s="7" t="str">
        <x:v>6.4.13</x:v>
      </x:c>
      <x:c r="G321" s="7" t="str">
        <x:v>CWE-601</x:v>
      </x:c>
      <x:c r="H321" s="7" t="str">
        <x:v>CVE-2026-41706</x:v>
      </x:c>
      <x:c r="I321" s="7" t="n">
        <x:v>144</x:v>
      </x:c>
      <x:c r="J321" s="9" t="str">
        <x:v>PENDIENTE</x:v>
      </x:c>
      <x:c r="K321" s="10" t="n">
        <x:v>47102</x:v>
      </x:c>
      <x:c r="L321" s="7" t="str">
        <x:v>Avance 2028-12-15</x:v>
      </x:c>
      <x:c r="M321" s="8" t="str">
        <x:v>Spring Security's CookieRequestCache and CookieServerRequestCache store the pre-au thentication request URL in a browser cookie so that users can be redirected back to their intend</x:v>
      </x:c>
      <x:c r="N321" s="17"/>
      <x:c r="O321" s="17"/>
    </x:row>
    <x:row r="322" ht="15" hidden="0" customHeight="1">
      <x:c r="A322" s="7"/>
      <x:c r="B322" s="7"/>
      <x:c r="C322" s="7"/>
      <x:c r="D322" s="8"/>
      <x:c r="E322" s="7"/>
      <x:c r="F322" s="7"/>
      <x:c r="G322" s="7"/>
      <x:c r="H322" s="7"/>
      <x:c r="I322" s="7"/>
      <x:c r="J322" s="9"/>
      <x:c r="K322" s="10"/>
      <x:c r="L322" s="7"/>
      <x:c r="M322" s="8"/>
      <x:c r="N322" s="17"/>
      <x:c r="O322" s="17"/>
    </x:row>
    <x:row r="323" ht="15" hidden="0" customHeight="1">
      <x:c r="A323" s="7"/>
      <x:c r="B323" s="7"/>
      <x:c r="C323" s="7"/>
      <x:c r="D323" s="8"/>
      <x:c r="E323" s="7"/>
      <x:c r="F323" s="7"/>
      <x:c r="G323" s="7"/>
      <x:c r="H323" s="7"/>
      <x:c r="I323" s="7"/>
      <x:c r="J323" s="9"/>
      <x:c r="K323" s="10"/>
      <x:c r="L323" s="7"/>
      <x:c r="M323" s="8"/>
      <x:c r="N323" s="17"/>
      <x:c r="O323" s="17"/>
    </x:row>
    <x:row r="324" ht="15" hidden="0" customHeight="1">
      <x:c r="A324" s="7"/>
      <x:c r="B324" s="7"/>
      <x:c r="C324" s="7"/>
      <x:c r="D324" s="8"/>
      <x:c r="E324" s="7"/>
      <x:c r="F324" s="7"/>
      <x:c r="G324" s="7"/>
      <x:c r="H324" s="7"/>
      <x:c r="I324" s="7"/>
      <x:c r="J324" s="9"/>
      <x:c r="K324" s="10"/>
      <x:c r="L324" s="7"/>
      <x:c r="M324" s="8"/>
      <x:c r="N324" s="17"/>
      <x:c r="O324" s="17"/>
    </x:row>
    <x:row r="325" ht="15" hidden="0" customHeight="1">
      <x:c r="A325" s="7"/>
      <x:c r="B325" s="7"/>
      <x:c r="C325" s="7"/>
      <x:c r="D325" s="8"/>
      <x:c r="E325" s="7"/>
      <x:c r="F325" s="7"/>
      <x:c r="G325" s="7"/>
      <x:c r="H325" s="7"/>
      <x:c r="I325" s="7"/>
      <x:c r="J325" s="9"/>
      <x:c r="K325" s="10"/>
      <x:c r="L325" s="7"/>
      <x:c r="M325" s="8"/>
      <x:c r="N325" s="17"/>
      <x:c r="O325" s="17"/>
    </x:row>
    <x:row r="326" ht="15" hidden="0" customHeight="1">
      <x:c r="A326" s="7"/>
      <x:c r="B326" s="7"/>
      <x:c r="C326" s="7"/>
      <x:c r="D326" s="8"/>
      <x:c r="E326" s="7"/>
      <x:c r="F326" s="7"/>
      <x:c r="G326" s="7"/>
      <x:c r="H326" s="7"/>
      <x:c r="I326" s="7"/>
      <x:c r="J326" s="9"/>
      <x:c r="K326" s="10"/>
      <x:c r="L326" s="7"/>
      <x:c r="M326" s="8"/>
      <x:c r="N326" s="17"/>
      <x:c r="O326" s="17"/>
    </x:row>
    <x:row r="327" ht="15" hidden="0" customHeight="1">
      <x:c r="A327" s="7"/>
      <x:c r="B327" s="7"/>
      <x:c r="C327" s="7"/>
      <x:c r="D327" s="8"/>
      <x:c r="E327" s="7"/>
      <x:c r="F327" s="7"/>
      <x:c r="G327" s="7"/>
      <x:c r="H327" s="7"/>
      <x:c r="I327" s="7"/>
      <x:c r="J327" s="9"/>
      <x:c r="K327" s="10"/>
      <x:c r="L327" s="7"/>
      <x:c r="M327" s="8"/>
      <x:c r="N327" s="17"/>
      <x:c r="O327" s="17"/>
    </x:row>
    <x:row r="328" ht="15" hidden="0" customHeight="1">
      <x:c r="A328" s="7"/>
      <x:c r="B328" s="7"/>
      <x:c r="C328" s="7"/>
      <x:c r="D328" s="8"/>
      <x:c r="E328" s="7"/>
      <x:c r="F328" s="7"/>
      <x:c r="G328" s="7"/>
      <x:c r="H328" s="7"/>
      <x:c r="I328" s="7"/>
      <x:c r="J328" s="9"/>
      <x:c r="K328" s="10"/>
      <x:c r="L328" s="7"/>
      <x:c r="M328" s="8"/>
      <x:c r="N328" s="17"/>
      <x:c r="O328" s="17"/>
    </x:row>
    <x:row r="329" ht="15" hidden="0" customHeight="1">
      <x:c r="A329" s="7"/>
      <x:c r="B329" s="7"/>
      <x:c r="C329" s="7"/>
      <x:c r="D329" s="8"/>
      <x:c r="E329" s="7"/>
      <x:c r="F329" s="7"/>
      <x:c r="G329" s="7"/>
      <x:c r="H329" s="7"/>
      <x:c r="I329" s="7"/>
      <x:c r="J329" s="9"/>
      <x:c r="K329" s="10"/>
      <x:c r="L329" s="7"/>
      <x:c r="M329" s="8"/>
      <x:c r="N329" s="17"/>
      <x:c r="O329" s="17"/>
    </x:row>
    <x:row r="330" ht="15" hidden="0" customHeight="1">
      <x:c r="A330" s="7"/>
      <x:c r="B330" s="7"/>
      <x:c r="C330" s="7"/>
      <x:c r="D330" s="8"/>
      <x:c r="E330" s="7"/>
      <x:c r="F330" s="7"/>
      <x:c r="G330" s="7"/>
      <x:c r="H330" s="7"/>
      <x:c r="I330" s="7"/>
      <x:c r="J330" s="9"/>
      <x:c r="K330" s="10"/>
      <x:c r="L330" s="7"/>
      <x:c r="M330" s="8"/>
      <x:c r="N330" s="17"/>
      <x:c r="O330" s="17"/>
    </x:row>
    <x:row r="331" ht="15" hidden="0" customHeight="1">
      <x:c r="A331" s="7"/>
      <x:c r="B331" s="7"/>
      <x:c r="C331" s="7"/>
      <x:c r="D331" s="8"/>
      <x:c r="E331" s="7"/>
      <x:c r="F331" s="7"/>
      <x:c r="G331" s="7"/>
      <x:c r="H331" s="7"/>
      <x:c r="I331" s="7"/>
      <x:c r="J331" s="9"/>
      <x:c r="K331" s="10"/>
      <x:c r="L331" s="7"/>
      <x:c r="M331" s="8"/>
      <x:c r="N331" s="17"/>
      <x:c r="O331" s="17"/>
    </x:row>
    <x:row r="332" ht="15" hidden="0" customHeight="1">
      <x:c r="A332" s="7"/>
      <x:c r="B332" s="7"/>
      <x:c r="C332" s="7"/>
      <x:c r="D332" s="8"/>
      <x:c r="E332" s="7"/>
      <x:c r="F332" s="7"/>
      <x:c r="G332" s="7"/>
      <x:c r="H332" s="7"/>
      <x:c r="I332" s="7"/>
      <x:c r="J332" s="9"/>
      <x:c r="K332" s="10"/>
      <x:c r="L332" s="7"/>
      <x:c r="M332" s="8"/>
      <x:c r="N332" s="17"/>
      <x:c r="O332" s="17"/>
    </x:row>
    <x:row r="333" ht="15" hidden="0" customHeight="1">
      <x:c r="A333" s="7"/>
      <x:c r="B333" s="7"/>
      <x:c r="C333" s="7"/>
      <x:c r="D333" s="8"/>
      <x:c r="E333" s="7"/>
      <x:c r="F333" s="7"/>
      <x:c r="G333" s="7"/>
      <x:c r="H333" s="7"/>
      <x:c r="I333" s="7"/>
      <x:c r="J333" s="9"/>
      <x:c r="K333" s="10"/>
      <x:c r="L333" s="7"/>
      <x:c r="M333" s="8"/>
      <x:c r="N333" s="17"/>
      <x:c r="O333" s="17"/>
    </x:row>
    <x:row r="334" ht="15" hidden="0" customHeight="1">
      <x:c r="A334" s="7"/>
      <x:c r="B334" s="7"/>
      <x:c r="C334" s="7"/>
      <x:c r="D334" s="8"/>
      <x:c r="E334" s="7"/>
      <x:c r="F334" s="7"/>
      <x:c r="G334" s="7"/>
      <x:c r="H334" s="7"/>
      <x:c r="I334" s="7"/>
      <x:c r="J334" s="9"/>
      <x:c r="K334" s="10"/>
      <x:c r="L334" s="7"/>
      <x:c r="M334" s="8"/>
      <x:c r="N334" s="17"/>
      <x:c r="O334" s="17"/>
    </x:row>
    <x:row r="335" ht="15" hidden="0" customHeight="1">
      <x:c r="A335" s="7"/>
      <x:c r="B335" s="7"/>
      <x:c r="C335" s="7"/>
      <x:c r="D335" s="8"/>
      <x:c r="E335" s="7"/>
      <x:c r="F335" s="7"/>
      <x:c r="G335" s="7"/>
      <x:c r="H335" s="7"/>
      <x:c r="I335" s="7"/>
      <x:c r="J335" s="9"/>
      <x:c r="K335" s="10"/>
      <x:c r="L335" s="7"/>
      <x:c r="M335" s="8"/>
      <x:c r="N335" s="17"/>
      <x:c r="O335" s="17"/>
    </x:row>
    <x:row r="336" ht="15" hidden="0" customHeight="1">
      <x:c r="A336" s="7"/>
      <x:c r="B336" s="7"/>
      <x:c r="C336" s="7"/>
      <x:c r="D336" s="8"/>
      <x:c r="E336" s="7"/>
      <x:c r="F336" s="7"/>
      <x:c r="G336" s="7"/>
      <x:c r="H336" s="7"/>
      <x:c r="I336" s="7"/>
      <x:c r="J336" s="9"/>
      <x:c r="K336" s="10"/>
      <x:c r="L336" s="7"/>
      <x:c r="M336" s="8"/>
      <x:c r="N336" s="17"/>
      <x:c r="O336" s="17"/>
    </x:row>
    <x:row r="337" ht="15" hidden="0" customHeight="1">
      <x:c r="A337" s="7"/>
      <x:c r="B337" s="7"/>
      <x:c r="C337" s="7"/>
      <x:c r="D337" s="8"/>
      <x:c r="E337" s="7"/>
      <x:c r="F337" s="7"/>
      <x:c r="G337" s="7"/>
      <x:c r="H337" s="7"/>
      <x:c r="I337" s="7"/>
      <x:c r="J337" s="9"/>
      <x:c r="K337" s="10"/>
      <x:c r="L337" s="7"/>
      <x:c r="M337" s="8"/>
      <x:c r="N337" s="17"/>
      <x:c r="O337" s="17"/>
    </x:row>
    <x:row r="338" ht="15" hidden="0" customHeight="1">
      <x:c r="A338" s="7"/>
      <x:c r="B338" s="7"/>
      <x:c r="C338" s="7"/>
      <x:c r="D338" s="8"/>
      <x:c r="E338" s="7"/>
      <x:c r="F338" s="7"/>
      <x:c r="G338" s="7"/>
      <x:c r="H338" s="7"/>
      <x:c r="I338" s="7"/>
      <x:c r="J338" s="9"/>
      <x:c r="K338" s="10"/>
      <x:c r="L338" s="7"/>
      <x:c r="M338" s="8"/>
      <x:c r="N338" s="17"/>
      <x:c r="O338" s="17"/>
    </x:row>
    <x:row r="339" ht="15" hidden="0" customHeight="1">
      <x:c r="A339" s="7"/>
      <x:c r="B339" s="7"/>
      <x:c r="C339" s="7"/>
      <x:c r="D339" s="8"/>
      <x:c r="E339" s="7"/>
      <x:c r="F339" s="7"/>
      <x:c r="G339" s="7"/>
      <x:c r="H339" s="7"/>
      <x:c r="I339" s="7"/>
      <x:c r="J339" s="9"/>
      <x:c r="K339" s="10"/>
      <x:c r="L339" s="7"/>
      <x:c r="M339" s="8"/>
      <x:c r="N339" s="17"/>
      <x:c r="O339" s="17"/>
    </x:row>
    <x:row r="340" ht="15" hidden="0" customHeight="1">
      <x:c r="A340" s="7"/>
      <x:c r="B340" s="7"/>
      <x:c r="C340" s="7"/>
      <x:c r="D340" s="8"/>
      <x:c r="E340" s="7"/>
      <x:c r="F340" s="7"/>
      <x:c r="G340" s="7"/>
      <x:c r="H340" s="7"/>
      <x:c r="I340" s="7"/>
      <x:c r="J340" s="9"/>
      <x:c r="K340" s="10"/>
      <x:c r="L340" s="7"/>
      <x:c r="M340" s="8"/>
      <x:c r="N340" s="17"/>
      <x:c r="O340" s="17"/>
    </x:row>
    <x:row r="341" ht="15" hidden="0" customHeight="1">
      <x:c r="A341" s="7"/>
      <x:c r="B341" s="7"/>
      <x:c r="C341" s="7"/>
      <x:c r="D341" s="8"/>
      <x:c r="E341" s="7"/>
      <x:c r="F341" s="7"/>
      <x:c r="G341" s="7"/>
      <x:c r="H341" s="7"/>
      <x:c r="I341" s="7"/>
      <x:c r="J341" s="9"/>
      <x:c r="K341" s="10"/>
      <x:c r="L341" s="7"/>
      <x:c r="M341" s="8"/>
      <x:c r="N341" s="17"/>
      <x:c r="O341" s="17"/>
    </x:row>
    <x:row r="342" ht="15" hidden="0" customHeight="1">
      <x:c r="A342" s="7"/>
      <x:c r="B342" s="7"/>
      <x:c r="C342" s="7"/>
      <x:c r="D342" s="8"/>
      <x:c r="E342" s="7"/>
      <x:c r="F342" s="7"/>
      <x:c r="G342" s="7"/>
      <x:c r="H342" s="7"/>
      <x:c r="I342" s="7"/>
      <x:c r="J342" s="9"/>
      <x:c r="K342" s="10"/>
      <x:c r="L342" s="7"/>
      <x:c r="M342" s="8"/>
      <x:c r="N342" s="17"/>
      <x:c r="O342" s="17"/>
    </x:row>
    <x:row r="343" ht="15" hidden="0" customHeight="1">
      <x:c r="A343" s="7"/>
      <x:c r="B343" s="7"/>
      <x:c r="C343" s="7"/>
      <x:c r="D343" s="8"/>
      <x:c r="E343" s="7"/>
      <x:c r="F343" s="7"/>
      <x:c r="G343" s="7"/>
      <x:c r="H343" s="7"/>
      <x:c r="I343" s="7"/>
      <x:c r="J343" s="9"/>
      <x:c r="K343" s="10"/>
      <x:c r="L343" s="7"/>
      <x:c r="M343" s="8"/>
      <x:c r="N343" s="17"/>
      <x:c r="O343" s="17"/>
    </x:row>
    <x:row r="344" ht="15" hidden="0" customHeight="1">
      <x:c r="A344" s="7"/>
      <x:c r="B344" s="7"/>
      <x:c r="C344" s="7"/>
      <x:c r="D344" s="8"/>
      <x:c r="E344" s="7"/>
      <x:c r="F344" s="7"/>
      <x:c r="G344" s="7"/>
      <x:c r="H344" s="7"/>
      <x:c r="I344" s="7"/>
      <x:c r="J344" s="9"/>
      <x:c r="K344" s="10"/>
      <x:c r="L344" s="7"/>
      <x:c r="M344" s="8"/>
      <x:c r="N344" s="17"/>
      <x:c r="O344" s="17"/>
    </x:row>
    <x:row r="345" ht="15" hidden="0" customHeight="1">
      <x:c r="A345" s="7"/>
      <x:c r="B345" s="7"/>
      <x:c r="C345" s="7"/>
      <x:c r="D345" s="8"/>
      <x:c r="E345" s="7"/>
      <x:c r="F345" s="7"/>
      <x:c r="G345" s="7"/>
      <x:c r="H345" s="7"/>
      <x:c r="I345" s="7"/>
      <x:c r="J345" s="9"/>
      <x:c r="K345" s="10"/>
      <x:c r="L345" s="7"/>
      <x:c r="M345" s="8"/>
      <x:c r="N345" s="17"/>
      <x:c r="O345" s="17"/>
    </x:row>
    <x:row r="346" ht="15" hidden="0" customHeight="1">
      <x:c r="A346" s="7"/>
      <x:c r="B346" s="7"/>
      <x:c r="C346" s="7"/>
      <x:c r="D346" s="8"/>
      <x:c r="E346" s="7"/>
      <x:c r="F346" s="7"/>
      <x:c r="G346" s="7"/>
      <x:c r="H346" s="7"/>
      <x:c r="I346" s="7"/>
      <x:c r="J346" s="9"/>
      <x:c r="K346" s="10"/>
      <x:c r="L346" s="7"/>
      <x:c r="M346" s="8"/>
      <x:c r="N346" s="17"/>
      <x:c r="O346" s="17"/>
    </x:row>
    <x:row r="347" ht="15" hidden="0" customHeight="1">
      <x:c r="A347" s="7"/>
      <x:c r="B347" s="7"/>
      <x:c r="C347" s="7"/>
      <x:c r="D347" s="8"/>
      <x:c r="E347" s="7"/>
      <x:c r="F347" s="7"/>
      <x:c r="G347" s="7"/>
      <x:c r="H347" s="7"/>
      <x:c r="I347" s="7"/>
      <x:c r="J347" s="9"/>
      <x:c r="K347" s="10"/>
      <x:c r="L347" s="7"/>
      <x:c r="M347" s="8"/>
      <x:c r="N347" s="17"/>
      <x:c r="O347" s="17"/>
    </x:row>
    <x:row r="348" ht="15" hidden="0" customHeight="1">
      <x:c r="A348" s="7"/>
      <x:c r="B348" s="7"/>
      <x:c r="C348" s="7"/>
      <x:c r="D348" s="8"/>
      <x:c r="E348" s="7"/>
      <x:c r="F348" s="7"/>
      <x:c r="G348" s="7"/>
      <x:c r="H348" s="7"/>
      <x:c r="I348" s="7"/>
      <x:c r="J348" s="9"/>
      <x:c r="K348" s="10"/>
      <x:c r="L348" s="7"/>
      <x:c r="M348" s="8"/>
      <x:c r="N348" s="17"/>
      <x:c r="O348" s="17"/>
    </x:row>
    <x:row r="349" ht="15" hidden="0" customHeight="1">
      <x:c r="A349" s="7"/>
      <x:c r="B349" s="7"/>
      <x:c r="C349" s="7"/>
      <x:c r="D349" s="8"/>
      <x:c r="E349" s="7"/>
      <x:c r="F349" s="7"/>
      <x:c r="G349" s="7"/>
      <x:c r="H349" s="7"/>
      <x:c r="I349" s="7"/>
      <x:c r="J349" s="9"/>
      <x:c r="K349" s="10"/>
      <x:c r="L349" s="7"/>
      <x:c r="M349" s="8"/>
      <x:c r="N349" s="17"/>
      <x:c r="O349" s="17"/>
    </x:row>
    <x:row r="350" ht="15" hidden="0" customHeight="1">
      <x:c r="A350" s="7"/>
      <x:c r="B350" s="7"/>
      <x:c r="C350" s="7"/>
      <x:c r="D350" s="8"/>
      <x:c r="E350" s="7"/>
      <x:c r="F350" s="7"/>
      <x:c r="G350" s="7"/>
      <x:c r="H350" s="7"/>
      <x:c r="I350" s="7"/>
      <x:c r="J350" s="9"/>
      <x:c r="K350" s="10"/>
      <x:c r="L350" s="7"/>
      <x:c r="M350" s="8"/>
      <x:c r="N350" s="17"/>
      <x:c r="O350" s="17"/>
    </x:row>
    <x:row r="351" ht="15" hidden="0" customHeight="1">
      <x:c r="A351" s="7"/>
      <x:c r="B351" s="7"/>
      <x:c r="C351" s="7"/>
      <x:c r="D351" s="8"/>
      <x:c r="E351" s="7"/>
      <x:c r="F351" s="7"/>
      <x:c r="G351" s="7"/>
      <x:c r="H351" s="7"/>
      <x:c r="I351" s="7"/>
      <x:c r="J351" s="9"/>
      <x:c r="K351" s="10"/>
      <x:c r="L351" s="7"/>
      <x:c r="M351" s="8"/>
      <x:c r="N351" s="17"/>
      <x:c r="O351" s="17"/>
    </x:row>
    <x:row r="352" ht="15" hidden="0" customHeight="1">
      <x:c r="A352" s="7"/>
      <x:c r="B352" s="7"/>
      <x:c r="C352" s="7"/>
      <x:c r="D352" s="8"/>
      <x:c r="E352" s="7"/>
      <x:c r="F352" s="7"/>
      <x:c r="G352" s="7"/>
      <x:c r="H352" s="7"/>
      <x:c r="I352" s="7"/>
      <x:c r="J352" s="9"/>
      <x:c r="K352" s="10"/>
      <x:c r="L352" s="7"/>
      <x:c r="M352" s="8"/>
      <x:c r="N352" s="17"/>
      <x:c r="O352" s="17"/>
    </x:row>
    <x:row r="353" ht="15" hidden="0" customHeight="1">
      <x:c r="A353" s="7"/>
      <x:c r="B353" s="7"/>
      <x:c r="C353" s="7"/>
      <x:c r="D353" s="8"/>
      <x:c r="E353" s="7"/>
      <x:c r="F353" s="7"/>
      <x:c r="G353" s="7"/>
      <x:c r="H353" s="7"/>
      <x:c r="I353" s="7"/>
      <x:c r="J353" s="9"/>
      <x:c r="K353" s="10"/>
      <x:c r="L353" s="7"/>
      <x:c r="M353" s="8"/>
      <x:c r="N353" s="17"/>
      <x:c r="O353" s="17"/>
    </x:row>
    <x:row r="354" ht="15" hidden="0" customHeight="1">
      <x:c r="A354" s="7"/>
      <x:c r="B354" s="7"/>
      <x:c r="C354" s="7"/>
      <x:c r="D354" s="8"/>
      <x:c r="E354" s="7"/>
      <x:c r="F354" s="7"/>
      <x:c r="G354" s="7"/>
      <x:c r="H354" s="7"/>
      <x:c r="I354" s="7"/>
      <x:c r="J354" s="9"/>
      <x:c r="K354" s="10"/>
      <x:c r="L354" s="7"/>
      <x:c r="M354" s="8"/>
      <x:c r="N354" s="17"/>
      <x:c r="O354" s="17"/>
    </x:row>
    <x:row r="355" ht="15" hidden="0" customHeight="1">
      <x:c r="A355" s="7"/>
      <x:c r="B355" s="7"/>
      <x:c r="C355" s="7"/>
      <x:c r="D355" s="8"/>
      <x:c r="E355" s="7"/>
      <x:c r="F355" s="7"/>
      <x:c r="G355" s="7"/>
      <x:c r="H355" s="7"/>
      <x:c r="I355" s="7"/>
      <x:c r="J355" s="9"/>
      <x:c r="K355" s="10"/>
      <x:c r="L355" s="7"/>
      <x:c r="M355" s="8"/>
      <x:c r="N355" s="17"/>
      <x:c r="O355" s="17"/>
    </x:row>
    <x:row r="356" ht="15" hidden="0" customHeight="1">
      <x:c r="A356" s="7"/>
      <x:c r="B356" s="7"/>
      <x:c r="C356" s="7"/>
      <x:c r="D356" s="8"/>
      <x:c r="E356" s="7"/>
      <x:c r="F356" s="7"/>
      <x:c r="G356" s="7"/>
      <x:c r="H356" s="7"/>
      <x:c r="I356" s="7"/>
      <x:c r="J356" s="9"/>
      <x:c r="K356" s="10"/>
      <x:c r="L356" s="7"/>
      <x:c r="M356" s="8"/>
      <x:c r="N356" s="17"/>
      <x:c r="O356" s="17"/>
    </x:row>
    <x:row r="357" ht="15" hidden="0" customHeight="1">
      <x:c r="A357" s="7"/>
      <x:c r="B357" s="7"/>
      <x:c r="C357" s="7"/>
      <x:c r="D357" s="8"/>
      <x:c r="E357" s="7"/>
      <x:c r="F357" s="7"/>
      <x:c r="G357" s="7"/>
      <x:c r="H357" s="7"/>
      <x:c r="I357" s="7"/>
      <x:c r="J357" s="9"/>
      <x:c r="K357" s="10"/>
      <x:c r="L357" s="7"/>
      <x:c r="M357" s="8"/>
      <x:c r="N357" s="17"/>
      <x:c r="O357" s="17"/>
    </x:row>
    <x:row r="358" ht="15" hidden="0" customHeight="1">
      <x:c r="A358" s="7"/>
      <x:c r="B358" s="7"/>
      <x:c r="C358" s="7"/>
      <x:c r="D358" s="8"/>
      <x:c r="E358" s="7"/>
      <x:c r="F358" s="7"/>
      <x:c r="G358" s="7"/>
      <x:c r="H358" s="7"/>
      <x:c r="I358" s="7"/>
      <x:c r="J358" s="9"/>
      <x:c r="K358" s="10"/>
      <x:c r="L358" s="7"/>
      <x:c r="M358" s="8"/>
      <x:c r="N358" s="17"/>
      <x:c r="O358" s="17"/>
    </x:row>
    <x:row r="359" ht="15" hidden="0" customHeight="1">
      <x:c r="A359" s="7"/>
      <x:c r="B359" s="7"/>
      <x:c r="C359" s="7"/>
      <x:c r="D359" s="8"/>
      <x:c r="E359" s="7"/>
      <x:c r="F359" s="7"/>
      <x:c r="G359" s="7"/>
      <x:c r="H359" s="7"/>
      <x:c r="I359" s="7"/>
      <x:c r="J359" s="9"/>
      <x:c r="K359" s="10"/>
      <x:c r="L359" s="7"/>
      <x:c r="M359" s="8"/>
      <x:c r="N359" s="17"/>
      <x:c r="O359" s="17"/>
    </x:row>
    <x:row r="360" ht="15" hidden="0" customHeight="1">
      <x:c r="A360" s="7"/>
      <x:c r="B360" s="7"/>
      <x:c r="C360" s="7"/>
      <x:c r="D360" s="8"/>
      <x:c r="E360" s="7"/>
      <x:c r="F360" s="7"/>
      <x:c r="G360" s="7"/>
      <x:c r="H360" s="7"/>
      <x:c r="I360" s="7"/>
      <x:c r="J360" s="9"/>
      <x:c r="K360" s="10"/>
      <x:c r="L360" s="7"/>
      <x:c r="M360" s="8"/>
      <x:c r="N360" s="17"/>
      <x:c r="O360" s="17"/>
    </x:row>
    <x:row r="361" ht="15" hidden="0" customHeight="1">
      <x:c r="A361" s="7"/>
      <x:c r="B361" s="7"/>
      <x:c r="C361" s="7"/>
      <x:c r="D361" s="8"/>
      <x:c r="E361" s="7"/>
      <x:c r="F361" s="7"/>
      <x:c r="G361" s="7"/>
      <x:c r="H361" s="7"/>
      <x:c r="I361" s="7"/>
      <x:c r="J361" s="9"/>
      <x:c r="K361" s="10"/>
      <x:c r="L361" s="7"/>
      <x:c r="M361" s="8"/>
      <x:c r="N361" s="17"/>
      <x:c r="O361" s="17"/>
    </x:row>
    <x:row r="362" ht="15" hidden="0" customHeight="1">
      <x:c r="A362" s="7"/>
      <x:c r="B362" s="7"/>
      <x:c r="C362" s="7"/>
      <x:c r="D362" s="8"/>
      <x:c r="E362" s="7"/>
      <x:c r="F362" s="7"/>
      <x:c r="G362" s="7"/>
      <x:c r="H362" s="7"/>
      <x:c r="I362" s="7"/>
      <x:c r="J362" s="9"/>
      <x:c r="K362" s="10"/>
      <x:c r="L362" s="7"/>
      <x:c r="M362" s="8"/>
      <x:c r="N362" s="17"/>
      <x:c r="O362" s="17"/>
    </x:row>
    <x:row r="363" ht="15" hidden="0" customHeight="1">
      <x:c r="A363" s="7"/>
      <x:c r="B363" s="7"/>
      <x:c r="C363" s="7"/>
      <x:c r="D363" s="8"/>
      <x:c r="E363" s="7"/>
      <x:c r="F363" s="7"/>
      <x:c r="G363" s="7"/>
      <x:c r="H363" s="7"/>
      <x:c r="I363" s="7"/>
      <x:c r="J363" s="9"/>
      <x:c r="K363" s="10"/>
      <x:c r="L363" s="7"/>
      <x:c r="M363" s="8"/>
      <x:c r="N363" s="17"/>
      <x:c r="O363" s="17"/>
    </x:row>
    <x:row r="364" ht="15" hidden="0" customHeight="1">
      <x:c r="A364" s="7"/>
      <x:c r="B364" s="7"/>
      <x:c r="C364" s="7"/>
      <x:c r="D364" s="8"/>
      <x:c r="E364" s="7"/>
      <x:c r="F364" s="7"/>
      <x:c r="G364" s="7"/>
      <x:c r="H364" s="7"/>
      <x:c r="I364" s="7"/>
      <x:c r="J364" s="9"/>
      <x:c r="K364" s="10"/>
      <x:c r="L364" s="7"/>
      <x:c r="M364" s="8"/>
      <x:c r="N364" s="17"/>
      <x:c r="O364" s="17"/>
    </x:row>
    <x:row r="365" ht="15" hidden="0" customHeight="1">
      <x:c r="A365" s="7"/>
      <x:c r="B365" s="7"/>
      <x:c r="C365" s="7"/>
      <x:c r="D365" s="8"/>
      <x:c r="E365" s="7"/>
      <x:c r="F365" s="7"/>
      <x:c r="G365" s="7"/>
      <x:c r="H365" s="7"/>
      <x:c r="I365" s="7"/>
      <x:c r="J365" s="9"/>
      <x:c r="K365" s="10"/>
      <x:c r="L365" s="7"/>
      <x:c r="M365" s="8"/>
      <x:c r="N365" s="17"/>
      <x:c r="O365" s="17"/>
    </x:row>
    <x:row r="366" ht="15" hidden="0" customHeight="1">
      <x:c r="A366" s="7"/>
      <x:c r="B366" s="7"/>
      <x:c r="C366" s="7"/>
      <x:c r="D366" s="8"/>
      <x:c r="E366" s="7"/>
      <x:c r="F366" s="7"/>
      <x:c r="G366" s="7"/>
      <x:c r="H366" s="7"/>
      <x:c r="I366" s="7"/>
      <x:c r="J366" s="9"/>
      <x:c r="K366" s="10"/>
      <x:c r="L366" s="7"/>
      <x:c r="M366" s="8"/>
      <x:c r="N366" s="17"/>
      <x:c r="O366" s="17"/>
    </x:row>
    <x:row r="367" ht="15" hidden="0" customHeight="1">
      <x:c r="A367" s="7"/>
      <x:c r="B367" s="7"/>
      <x:c r="C367" s="7"/>
      <x:c r="D367" s="8"/>
      <x:c r="E367" s="7"/>
      <x:c r="F367" s="7"/>
      <x:c r="G367" s="7"/>
      <x:c r="H367" s="7"/>
      <x:c r="I367" s="7"/>
      <x:c r="J367" s="9"/>
      <x:c r="K367" s="10"/>
      <x:c r="L367" s="7"/>
      <x:c r="M367" s="8"/>
      <x:c r="N367" s="17"/>
      <x:c r="O367" s="17"/>
    </x:row>
    <x:row r="368" ht="15" hidden="0" customHeight="1">
      <x:c r="A368" s="7"/>
      <x:c r="B368" s="7"/>
      <x:c r="C368" s="7"/>
      <x:c r="D368" s="8"/>
      <x:c r="E368" s="7"/>
      <x:c r="F368" s="7"/>
      <x:c r="G368" s="7"/>
      <x:c r="H368" s="7"/>
      <x:c r="I368" s="7"/>
      <x:c r="J368" s="9"/>
      <x:c r="K368" s="10"/>
      <x:c r="L368" s="7"/>
      <x:c r="M368" s="8"/>
      <x:c r="N368" s="17"/>
      <x:c r="O368" s="17"/>
    </x:row>
    <x:row r="369" ht="15" hidden="0" customHeight="1">
      <x:c r="A369" s="7"/>
      <x:c r="B369" s="7"/>
      <x:c r="C369" s="7"/>
      <x:c r="D369" s="8"/>
      <x:c r="E369" s="7"/>
      <x:c r="F369" s="7"/>
      <x:c r="G369" s="7"/>
      <x:c r="H369" s="7"/>
      <x:c r="I369" s="7"/>
      <x:c r="J369" s="9"/>
      <x:c r="K369" s="10"/>
      <x:c r="L369" s="7"/>
      <x:c r="M369" s="8"/>
      <x:c r="N369" s="17"/>
      <x:c r="O369" s="17"/>
    </x:row>
    <x:row r="370" ht="15" hidden="0" customHeight="1">
      <x:c r="A370" s="7"/>
      <x:c r="B370" s="7"/>
      <x:c r="C370" s="7"/>
      <x:c r="D370" s="8"/>
      <x:c r="E370" s="7"/>
      <x:c r="F370" s="7"/>
      <x:c r="G370" s="7"/>
      <x:c r="H370" s="7"/>
      <x:c r="I370" s="7"/>
      <x:c r="J370" s="9"/>
      <x:c r="K370" s="10"/>
      <x:c r="L370" s="7"/>
      <x:c r="M370" s="8"/>
      <x:c r="N370" s="17"/>
      <x:c r="O370" s="17"/>
    </x:row>
    <x:row r="371" ht="15" hidden="0" customHeight="1">
      <x:c r="A371" s="7"/>
      <x:c r="B371" s="7"/>
      <x:c r="C371" s="7"/>
      <x:c r="D371" s="8"/>
      <x:c r="E371" s="7"/>
      <x:c r="F371" s="7"/>
      <x:c r="G371" s="7"/>
      <x:c r="H371" s="7"/>
      <x:c r="I371" s="7"/>
      <x:c r="J371" s="9"/>
      <x:c r="K371" s="10"/>
      <x:c r="L371" s="7"/>
      <x:c r="M371" s="8"/>
      <x:c r="N371" s="17"/>
      <x:c r="O371" s="17"/>
    </x:row>
    <x:row r="372" ht="15" hidden="0" customHeight="1">
      <x:c r="A372" s="7"/>
      <x:c r="B372" s="7"/>
      <x:c r="C372" s="7"/>
      <x:c r="D372" s="8"/>
      <x:c r="E372" s="7"/>
      <x:c r="F372" s="7"/>
      <x:c r="G372" s="7"/>
      <x:c r="H372" s="7"/>
      <x:c r="I372" s="7"/>
      <x:c r="J372" s="9"/>
      <x:c r="K372" s="10"/>
      <x:c r="L372" s="7"/>
      <x:c r="M372" s="8"/>
      <x:c r="N372" s="17"/>
      <x:c r="O372" s="17"/>
    </x:row>
    <x:row r="373" ht="15" hidden="0" customHeight="1">
      <x:c r="A373" s="7"/>
      <x:c r="B373" s="7"/>
      <x:c r="C373" s="7"/>
      <x:c r="D373" s="8"/>
      <x:c r="E373" s="7"/>
      <x:c r="F373" s="7"/>
      <x:c r="G373" s="7"/>
      <x:c r="H373" s="7"/>
      <x:c r="I373" s="7"/>
      <x:c r="J373" s="9"/>
      <x:c r="K373" s="10"/>
      <x:c r="L373" s="7"/>
      <x:c r="M373" s="8"/>
      <x:c r="N373" s="17"/>
      <x:c r="O373" s="17"/>
    </x:row>
    <x:row r="374" ht="15" hidden="0" customHeight="1">
      <x:c r="A374" s="7"/>
      <x:c r="B374" s="7"/>
      <x:c r="C374" s="7"/>
      <x:c r="D374" s="8"/>
      <x:c r="E374" s="7"/>
      <x:c r="F374" s="7"/>
      <x:c r="G374" s="7"/>
      <x:c r="H374" s="7"/>
      <x:c r="I374" s="7"/>
      <x:c r="J374" s="9"/>
      <x:c r="K374" s="10"/>
      <x:c r="L374" s="7"/>
      <x:c r="M374" s="8"/>
      <x:c r="N374" s="17"/>
      <x:c r="O374" s="17"/>
    </x:row>
    <x:row r="375" ht="15" hidden="0" customHeight="1">
      <x:c r="A375" s="7"/>
      <x:c r="B375" s="7"/>
      <x:c r="C375" s="7"/>
      <x:c r="D375" s="8"/>
      <x:c r="E375" s="7"/>
      <x:c r="F375" s="7"/>
      <x:c r="G375" s="7"/>
      <x:c r="H375" s="7"/>
      <x:c r="I375" s="7"/>
      <x:c r="J375" s="9"/>
      <x:c r="K375" s="10"/>
      <x:c r="L375" s="7"/>
      <x:c r="M375" s="8"/>
      <x:c r="N375" s="17"/>
      <x:c r="O375" s="17"/>
    </x:row>
    <x:row r="376" ht="15" hidden="0" customHeight="1">
      <x:c r="A376" s="7"/>
      <x:c r="B376" s="7"/>
      <x:c r="C376" s="7"/>
      <x:c r="D376" s="8"/>
      <x:c r="E376" s="7"/>
      <x:c r="F376" s="7"/>
      <x:c r="G376" s="7"/>
      <x:c r="H376" s="7"/>
      <x:c r="I376" s="7"/>
      <x:c r="J376" s="9"/>
      <x:c r="K376" s="10"/>
      <x:c r="L376" s="7"/>
      <x:c r="M376" s="8"/>
      <x:c r="N376" s="17"/>
      <x:c r="O376" s="17"/>
    </x:row>
    <x:row r="377" ht="15" hidden="0" customHeight="1">
      <x:c r="A377" s="7"/>
      <x:c r="B377" s="7"/>
      <x:c r="C377" s="7"/>
      <x:c r="D377" s="8"/>
      <x:c r="E377" s="7"/>
      <x:c r="F377" s="7"/>
      <x:c r="G377" s="7"/>
      <x:c r="H377" s="7"/>
      <x:c r="I377" s="7"/>
      <x:c r="J377" s="9"/>
      <x:c r="K377" s="10"/>
      <x:c r="L377" s="7"/>
      <x:c r="M377" s="8"/>
      <x:c r="N377" s="17"/>
      <x:c r="O377" s="17"/>
    </x:row>
    <x:row r="378" ht="15" hidden="0" customHeight="1">
      <x:c r="A378" s="7"/>
      <x:c r="B378" s="7"/>
      <x:c r="C378" s="7"/>
      <x:c r="D378" s="8"/>
      <x:c r="E378" s="7"/>
      <x:c r="F378" s="7"/>
      <x:c r="G378" s="7"/>
      <x:c r="H378" s="7"/>
      <x:c r="I378" s="7"/>
      <x:c r="J378" s="9"/>
      <x:c r="K378" s="10"/>
      <x:c r="L378" s="7"/>
      <x:c r="M378" s="8"/>
      <x:c r="N378" s="17"/>
      <x:c r="O378" s="17"/>
    </x:row>
    <x:row r="379" ht="15" hidden="0" customHeight="1">
      <x:c r="A379" s="7"/>
      <x:c r="B379" s="7"/>
      <x:c r="C379" s="7"/>
      <x:c r="D379" s="8"/>
      <x:c r="E379" s="7"/>
      <x:c r="F379" s="7"/>
      <x:c r="G379" s="7"/>
      <x:c r="H379" s="7"/>
      <x:c r="I379" s="7"/>
      <x:c r="J379" s="9"/>
      <x:c r="K379" s="10"/>
      <x:c r="L379" s="7"/>
      <x:c r="M379" s="8"/>
      <x:c r="N379" s="17"/>
      <x:c r="O379" s="17"/>
    </x:row>
    <x:row r="380" ht="15" hidden="0" customHeight="1">
      <x:c r="A380" s="7"/>
      <x:c r="B380" s="7"/>
      <x:c r="C380" s="7"/>
      <x:c r="D380" s="8"/>
      <x:c r="E380" s="7"/>
      <x:c r="F380" s="7"/>
      <x:c r="G380" s="7"/>
      <x:c r="H380" s="7"/>
      <x:c r="I380" s="7"/>
      <x:c r="J380" s="9"/>
      <x:c r="K380" s="10"/>
      <x:c r="L380" s="7"/>
      <x:c r="M380" s="8"/>
      <x:c r="N380" s="17"/>
      <x:c r="O380" s="17"/>
    </x:row>
    <x:row r="381" ht="15" hidden="0" customHeight="1">
      <x:c r="A381" s="7"/>
      <x:c r="B381" s="7"/>
      <x:c r="C381" s="7"/>
      <x:c r="D381" s="8"/>
      <x:c r="E381" s="7"/>
      <x:c r="F381" s="7"/>
      <x:c r="G381" s="7"/>
      <x:c r="H381" s="7"/>
      <x:c r="I381" s="7"/>
      <x:c r="J381" s="9"/>
      <x:c r="K381" s="10"/>
      <x:c r="L381" s="7"/>
      <x:c r="M381" s="8"/>
      <x:c r="N381" s="17"/>
      <x:c r="O381" s="17"/>
    </x:row>
    <x:row r="382" ht="15" hidden="0" customHeight="1">
      <x:c r="A382" s="7"/>
      <x:c r="B382" s="7"/>
      <x:c r="C382" s="7"/>
      <x:c r="D382" s="8"/>
      <x:c r="E382" s="7"/>
      <x:c r="F382" s="7"/>
      <x:c r="G382" s="7"/>
      <x:c r="H382" s="7"/>
      <x:c r="I382" s="7"/>
      <x:c r="J382" s="9"/>
      <x:c r="K382" s="10"/>
      <x:c r="L382" s="7"/>
      <x:c r="M382" s="8"/>
      <x:c r="N382" s="17"/>
      <x:c r="O382" s="17"/>
    </x:row>
    <x:row r="383" ht="15" hidden="0" customHeight="1">
      <x:c r="A383" s="7"/>
      <x:c r="B383" s="7"/>
      <x:c r="C383" s="7"/>
      <x:c r="D383" s="8"/>
      <x:c r="E383" s="7"/>
      <x:c r="F383" s="7"/>
      <x:c r="G383" s="7"/>
      <x:c r="H383" s="7"/>
      <x:c r="I383" s="7"/>
      <x:c r="J383" s="9"/>
      <x:c r="K383" s="10"/>
      <x:c r="L383" s="7"/>
      <x:c r="M383" s="8"/>
      <x:c r="N383" s="17"/>
      <x:c r="O383" s="17"/>
    </x:row>
    <x:row r="384" ht="15" hidden="0" customHeight="1">
      <x:c r="A384" s="7"/>
      <x:c r="B384" s="7"/>
      <x:c r="C384" s="7"/>
      <x:c r="D384" s="8"/>
      <x:c r="E384" s="7"/>
      <x:c r="F384" s="7"/>
      <x:c r="G384" s="7"/>
      <x:c r="H384" s="7"/>
      <x:c r="I384" s="7"/>
      <x:c r="J384" s="9"/>
      <x:c r="K384" s="10"/>
      <x:c r="L384" s="7"/>
      <x:c r="M384" s="8"/>
      <x:c r="N384" s="17"/>
      <x:c r="O384" s="17"/>
    </x:row>
    <x:row r="385" ht="15" hidden="0" customHeight="1">
      <x:c r="A385" s="7"/>
      <x:c r="B385" s="7"/>
      <x:c r="C385" s="7"/>
      <x:c r="D385" s="8"/>
      <x:c r="E385" s="7"/>
      <x:c r="F385" s="7"/>
      <x:c r="G385" s="7"/>
      <x:c r="H385" s="7"/>
      <x:c r="I385" s="7"/>
      <x:c r="J385" s="9"/>
      <x:c r="K385" s="10"/>
      <x:c r="L385" s="7"/>
      <x:c r="M385" s="8"/>
      <x:c r="N385" s="17"/>
      <x:c r="O385" s="17"/>
    </x:row>
    <x:row r="386" ht="15" hidden="0" customHeight="1">
      <x:c r="A386" s="7"/>
      <x:c r="B386" s="7"/>
      <x:c r="C386" s="7"/>
      <x:c r="D386" s="8"/>
      <x:c r="E386" s="7"/>
      <x:c r="F386" s="7"/>
      <x:c r="G386" s="7"/>
      <x:c r="H386" s="7"/>
      <x:c r="I386" s="7"/>
      <x:c r="J386" s="9"/>
      <x:c r="K386" s="10"/>
      <x:c r="L386" s="7"/>
      <x:c r="M386" s="8"/>
      <x:c r="N386" s="17"/>
      <x:c r="O386" s="17"/>
    </x:row>
    <x:row r="387" ht="15" hidden="0" customHeight="1">
      <x:c r="A387" s="7"/>
      <x:c r="B387" s="7"/>
      <x:c r="C387" s="7"/>
      <x:c r="D387" s="8"/>
      <x:c r="E387" s="7"/>
      <x:c r="F387" s="7"/>
      <x:c r="G387" s="7"/>
      <x:c r="H387" s="7"/>
      <x:c r="I387" s="7"/>
      <x:c r="J387" s="9"/>
      <x:c r="K387" s="10"/>
      <x:c r="L387" s="7"/>
      <x:c r="M387" s="8"/>
      <x:c r="N387" s="17"/>
      <x:c r="O387" s="17"/>
    </x:row>
    <x:row r="388" ht="15" hidden="0" customHeight="1">
      <x:c r="A388" s="7"/>
      <x:c r="B388" s="7"/>
      <x:c r="C388" s="7"/>
      <x:c r="D388" s="8"/>
      <x:c r="E388" s="7"/>
      <x:c r="F388" s="7"/>
      <x:c r="G388" s="7"/>
      <x:c r="H388" s="7"/>
      <x:c r="I388" s="7"/>
      <x:c r="J388" s="9"/>
      <x:c r="K388" s="10"/>
      <x:c r="L388" s="7"/>
      <x:c r="M388" s="8"/>
      <x:c r="N388" s="17"/>
      <x:c r="O388" s="17"/>
    </x:row>
    <x:row r="389" ht="15" hidden="0" customHeight="1">
      <x:c r="A389" s="7"/>
      <x:c r="B389" s="7"/>
      <x:c r="C389" s="7"/>
      <x:c r="D389" s="8"/>
      <x:c r="E389" s="7"/>
      <x:c r="F389" s="7"/>
      <x:c r="G389" s="7"/>
      <x:c r="H389" s="7"/>
      <x:c r="I389" s="7"/>
      <x:c r="J389" s="9"/>
      <x:c r="K389" s="10"/>
      <x:c r="L389" s="7"/>
      <x:c r="M389" s="8"/>
      <x:c r="N389" s="17"/>
      <x:c r="O389" s="17"/>
    </x:row>
    <x:row r="390" ht="15" hidden="0" customHeight="1">
      <x:c r="A390" s="7"/>
      <x:c r="B390" s="7"/>
      <x:c r="C390" s="7"/>
      <x:c r="D390" s="8"/>
      <x:c r="E390" s="7"/>
      <x:c r="F390" s="7"/>
      <x:c r="G390" s="7"/>
      <x:c r="H390" s="7"/>
      <x:c r="I390" s="7"/>
      <x:c r="J390" s="9"/>
      <x:c r="K390" s="10"/>
      <x:c r="L390" s="7"/>
      <x:c r="M390" s="8"/>
      <x:c r="N390" s="17"/>
      <x:c r="O390" s="17"/>
    </x:row>
    <x:row r="391" ht="15" hidden="0" customHeight="1">
      <x:c r="A391" s="7"/>
      <x:c r="B391" s="7"/>
      <x:c r="C391" s="7"/>
      <x:c r="D391" s="8"/>
      <x:c r="E391" s="7"/>
      <x:c r="F391" s="7"/>
      <x:c r="G391" s="7"/>
      <x:c r="H391" s="7"/>
      <x:c r="I391" s="7"/>
      <x:c r="J391" s="9"/>
      <x:c r="K391" s="10"/>
      <x:c r="L391" s="7"/>
      <x:c r="M391" s="8"/>
      <x:c r="N391" s="17"/>
      <x:c r="O391" s="17"/>
    </x:row>
    <x:row r="392" ht="15" hidden="0" customHeight="1">
      <x:c r="A392" s="7"/>
      <x:c r="B392" s="7"/>
      <x:c r="C392" s="7"/>
      <x:c r="D392" s="8"/>
      <x:c r="E392" s="7"/>
      <x:c r="F392" s="7"/>
      <x:c r="G392" s="7"/>
      <x:c r="H392" s="7"/>
      <x:c r="I392" s="7"/>
      <x:c r="J392" s="9"/>
      <x:c r="K392" s="10"/>
      <x:c r="L392" s="7"/>
      <x:c r="M392" s="8"/>
      <x:c r="N392" s="17"/>
      <x:c r="O392" s="17"/>
    </x:row>
    <x:row r="393" ht="15" hidden="0" customHeight="1">
      <x:c r="A393" s="7"/>
      <x:c r="B393" s="7"/>
      <x:c r="C393" s="7"/>
      <x:c r="D393" s="8"/>
      <x:c r="E393" s="7"/>
      <x:c r="F393" s="7"/>
      <x:c r="G393" s="7"/>
      <x:c r="H393" s="7"/>
      <x:c r="I393" s="7"/>
      <x:c r="J393" s="9"/>
      <x:c r="K393" s="10"/>
      <x:c r="L393" s="7"/>
      <x:c r="M393" s="8"/>
      <x:c r="N393" s="17"/>
      <x:c r="O393" s="17"/>
    </x:row>
    <x:row r="394" ht="15" hidden="0" customHeight="1">
      <x:c r="A394" s="7"/>
      <x:c r="B394" s="7"/>
      <x:c r="C394" s="7"/>
      <x:c r="D394" s="8"/>
      <x:c r="E394" s="7"/>
      <x:c r="F394" s="7"/>
      <x:c r="G394" s="7"/>
      <x:c r="H394" s="7"/>
      <x:c r="I394" s="7"/>
      <x:c r="J394" s="9"/>
      <x:c r="K394" s="10"/>
      <x:c r="L394" s="7"/>
      <x:c r="M394" s="8"/>
      <x:c r="N394" s="17"/>
      <x:c r="O394" s="17"/>
    </x:row>
    <x:row r="395" ht="15" hidden="0" customHeight="1">
      <x:c r="A395" s="7"/>
      <x:c r="B395" s="7"/>
      <x:c r="C395" s="7"/>
      <x:c r="D395" s="8"/>
      <x:c r="E395" s="7"/>
      <x:c r="F395" s="7"/>
      <x:c r="G395" s="7"/>
      <x:c r="H395" s="7"/>
      <x:c r="I395" s="7"/>
      <x:c r="J395" s="9"/>
      <x:c r="K395" s="10"/>
      <x:c r="L395" s="7"/>
      <x:c r="M395" s="8"/>
      <x:c r="N395" s="17"/>
      <x:c r="O395" s="17"/>
    </x:row>
    <x:row r="396" ht="15" hidden="0" customHeight="1">
      <x:c r="A396" s="7"/>
      <x:c r="B396" s="7"/>
      <x:c r="C396" s="7"/>
      <x:c r="D396" s="8"/>
      <x:c r="E396" s="7"/>
      <x:c r="F396" s="7"/>
      <x:c r="G396" s="7"/>
      <x:c r="H396" s="7"/>
      <x:c r="I396" s="7"/>
      <x:c r="J396" s="9"/>
      <x:c r="K396" s="10"/>
      <x:c r="L396" s="7"/>
      <x:c r="M396" s="8"/>
      <x:c r="N396" s="17"/>
      <x:c r="O396" s="17"/>
    </x:row>
    <x:row r="397" ht="15" hidden="0" customHeight="1">
      <x:c r="A397" s="7"/>
      <x:c r="B397" s="7"/>
      <x:c r="C397" s="7"/>
      <x:c r="D397" s="8"/>
      <x:c r="E397" s="7"/>
      <x:c r="F397" s="7"/>
      <x:c r="G397" s="7"/>
      <x:c r="H397" s="7"/>
      <x:c r="I397" s="7"/>
      <x:c r="J397" s="9"/>
      <x:c r="K397" s="10"/>
      <x:c r="L397" s="7"/>
      <x:c r="M397" s="8"/>
      <x:c r="N397" s="17"/>
      <x:c r="O397" s="17"/>
    </x:row>
    <x:row r="398" ht="15" hidden="0" customHeight="1">
      <x:c r="A398" s="7"/>
      <x:c r="B398" s="7"/>
      <x:c r="C398" s="7"/>
      <x:c r="D398" s="8"/>
      <x:c r="E398" s="7"/>
      <x:c r="F398" s="7"/>
      <x:c r="G398" s="7"/>
      <x:c r="H398" s="7"/>
      <x:c r="I398" s="7"/>
      <x:c r="J398" s="9"/>
      <x:c r="K398" s="10"/>
      <x:c r="L398" s="7"/>
      <x:c r="M398" s="8"/>
      <x:c r="N398" s="17"/>
      <x:c r="O398" s="17"/>
    </x:row>
    <x:row r="399" ht="15" hidden="0" customHeight="1">
      <x:c r="A399" s="7"/>
      <x:c r="B399" s="7"/>
      <x:c r="C399" s="7"/>
      <x:c r="D399" s="8"/>
      <x:c r="E399" s="7"/>
      <x:c r="F399" s="7"/>
      <x:c r="G399" s="7"/>
      <x:c r="H399" s="7"/>
      <x:c r="I399" s="7"/>
      <x:c r="J399" s="9"/>
      <x:c r="K399" s="10"/>
      <x:c r="L399" s="7"/>
      <x:c r="M399" s="8"/>
      <x:c r="N399" s="17"/>
      <x:c r="O399" s="17"/>
    </x:row>
    <x:row r="400" ht="15" hidden="0" customHeight="1">
      <x:c r="A400" s="7"/>
      <x:c r="B400" s="7"/>
      <x:c r="C400" s="7"/>
      <x:c r="D400" s="8"/>
      <x:c r="E400" s="7"/>
      <x:c r="F400" s="7"/>
      <x:c r="G400" s="7"/>
      <x:c r="H400" s="7"/>
      <x:c r="I400" s="7"/>
      <x:c r="J400" s="9"/>
      <x:c r="K400" s="10"/>
      <x:c r="L400" s="7"/>
      <x:c r="M400" s="8"/>
      <x:c r="N400" s="17"/>
      <x:c r="O400" s="17"/>
    </x:row>
    <x:row r="401" ht="15" hidden="0" customHeight="1">
      <x:c r="A401" s="7"/>
      <x:c r="B401" s="7"/>
      <x:c r="C401" s="7"/>
      <x:c r="D401" s="8"/>
      <x:c r="E401" s="7"/>
      <x:c r="F401" s="7"/>
      <x:c r="G401" s="7"/>
      <x:c r="H401" s="7"/>
      <x:c r="I401" s="7"/>
      <x:c r="J401" s="9"/>
      <x:c r="K401" s="10"/>
      <x:c r="L401" s="7"/>
      <x:c r="M401" s="8"/>
      <x:c r="N401" s="17"/>
      <x:c r="O401" s="17"/>
    </x:row>
    <x:row r="402" ht="15" hidden="0" customHeight="1">
      <x:c r="A402" s="7"/>
      <x:c r="B402" s="7"/>
      <x:c r="C402" s="7"/>
      <x:c r="D402" s="8"/>
      <x:c r="E402" s="7"/>
      <x:c r="F402" s="7"/>
      <x:c r="G402" s="7"/>
      <x:c r="H402" s="7"/>
      <x:c r="I402" s="7"/>
      <x:c r="J402" s="9"/>
      <x:c r="K402" s="10"/>
      <x:c r="L402" s="7"/>
      <x:c r="M402" s="8"/>
      <x:c r="N402" s="17"/>
      <x:c r="O402" s="17"/>
    </x:row>
    <x:row r="403" ht="15" hidden="0" customHeight="1">
      <x:c r="A403" s="7"/>
      <x:c r="B403" s="7"/>
      <x:c r="C403" s="7"/>
      <x:c r="D403" s="8"/>
      <x:c r="E403" s="7"/>
      <x:c r="F403" s="7"/>
      <x:c r="G403" s="7"/>
      <x:c r="H403" s="7"/>
      <x:c r="I403" s="7"/>
      <x:c r="J403" s="9"/>
      <x:c r="K403" s="10"/>
      <x:c r="L403" s="7"/>
      <x:c r="M403" s="8"/>
      <x:c r="N403" s="17"/>
      <x:c r="O403" s="17"/>
    </x:row>
    <x:row r="404" ht="15" hidden="0" customHeight="1">
      <x:c r="A404" s="7"/>
      <x:c r="B404" s="7"/>
      <x:c r="C404" s="7"/>
      <x:c r="D404" s="8"/>
      <x:c r="E404" s="7"/>
      <x:c r="F404" s="7"/>
      <x:c r="G404" s="7"/>
      <x:c r="H404" s="7"/>
      <x:c r="I404" s="7"/>
      <x:c r="J404" s="9"/>
      <x:c r="K404" s="10"/>
      <x:c r="L404" s="7"/>
      <x:c r="M404" s="8"/>
      <x:c r="N404" s="17"/>
      <x:c r="O404" s="17"/>
    </x:row>
    <x:row r="405" ht="15" hidden="0" customHeight="1">
      <x:c r="A405" s="7"/>
      <x:c r="B405" s="7"/>
      <x:c r="C405" s="7"/>
      <x:c r="D405" s="8"/>
      <x:c r="E405" s="7"/>
      <x:c r="F405" s="7"/>
      <x:c r="G405" s="7"/>
      <x:c r="H405" s="7"/>
      <x:c r="I405" s="7"/>
      <x:c r="J405" s="9"/>
      <x:c r="K405" s="10"/>
      <x:c r="L405" s="7"/>
      <x:c r="M405" s="8"/>
      <x:c r="N405" s="17"/>
      <x:c r="O405" s="17"/>
    </x:row>
    <x:row r="406" ht="15" hidden="0" customHeight="1">
      <x:c r="A406" s="7"/>
      <x:c r="B406" s="7"/>
      <x:c r="C406" s="7"/>
      <x:c r="D406" s="8"/>
      <x:c r="E406" s="7"/>
      <x:c r="F406" s="7"/>
      <x:c r="G406" s="7"/>
      <x:c r="H406" s="7"/>
      <x:c r="I406" s="7"/>
      <x:c r="J406" s="9"/>
      <x:c r="K406" s="10"/>
      <x:c r="L406" s="7"/>
      <x:c r="M406" s="8"/>
      <x:c r="N406" s="17"/>
      <x:c r="O406" s="17"/>
    </x:row>
    <x:row r="407" ht="15" hidden="0" customHeight="1">
      <x:c r="A407" s="7"/>
      <x:c r="B407" s="7"/>
      <x:c r="C407" s="7"/>
      <x:c r="D407" s="8"/>
      <x:c r="E407" s="7"/>
      <x:c r="F407" s="7"/>
      <x:c r="G407" s="7"/>
      <x:c r="H407" s="7"/>
      <x:c r="I407" s="7"/>
      <x:c r="J407" s="9"/>
      <x:c r="K407" s="10"/>
      <x:c r="L407" s="7"/>
      <x:c r="M407" s="8"/>
      <x:c r="N407" s="17"/>
      <x:c r="O407" s="17"/>
    </x:row>
    <x:row r="408" ht="15" hidden="0" customHeight="1">
      <x:c r="A408" s="7"/>
      <x:c r="B408" s="7"/>
      <x:c r="C408" s="7"/>
      <x:c r="D408" s="8"/>
      <x:c r="E408" s="7"/>
      <x:c r="F408" s="7"/>
      <x:c r="G408" s="7"/>
      <x:c r="H408" s="7"/>
      <x:c r="I408" s="7"/>
      <x:c r="J408" s="9"/>
      <x:c r="K408" s="10"/>
      <x:c r="L408" s="7"/>
      <x:c r="M408" s="8"/>
      <x:c r="N408" s="17"/>
      <x:c r="O408" s="17"/>
    </x:row>
    <x:row r="409" ht="15" hidden="0" customHeight="1">
      <x:c r="A409" s="7"/>
      <x:c r="B409" s="7"/>
      <x:c r="C409" s="7"/>
      <x:c r="D409" s="8"/>
      <x:c r="E409" s="7"/>
      <x:c r="F409" s="7"/>
      <x:c r="G409" s="7"/>
      <x:c r="H409" s="7"/>
      <x:c r="I409" s="7"/>
      <x:c r="J409" s="9"/>
      <x:c r="K409" s="10"/>
      <x:c r="L409" s="7"/>
      <x:c r="M409" s="8"/>
      <x:c r="N409" s="17"/>
      <x:c r="O409" s="17"/>
    </x:row>
    <x:row r="410" ht="15" hidden="0" customHeight="1">
      <x:c r="A410" s="7"/>
      <x:c r="B410" s="7"/>
      <x:c r="C410" s="7"/>
      <x:c r="D410" s="8"/>
      <x:c r="E410" s="7"/>
      <x:c r="F410" s="7"/>
      <x:c r="G410" s="7"/>
      <x:c r="H410" s="7"/>
      <x:c r="I410" s="7"/>
      <x:c r="J410" s="9"/>
      <x:c r="K410" s="10"/>
      <x:c r="L410" s="7"/>
      <x:c r="M410" s="8"/>
      <x:c r="N410" s="17"/>
      <x:c r="O410" s="17"/>
    </x:row>
    <x:row r="411" ht="15" hidden="0" customHeight="1">
      <x:c r="A411" s="7"/>
      <x:c r="B411" s="7"/>
      <x:c r="C411" s="7"/>
      <x:c r="D411" s="8"/>
      <x:c r="E411" s="7"/>
      <x:c r="F411" s="7"/>
      <x:c r="G411" s="7"/>
      <x:c r="H411" s="7"/>
      <x:c r="I411" s="7"/>
      <x:c r="J411" s="9"/>
      <x:c r="K411" s="10"/>
      <x:c r="L411" s="7"/>
      <x:c r="M411" s="8"/>
      <x:c r="N411" s="17"/>
      <x:c r="O411" s="17"/>
    </x:row>
    <x:row r="412" ht="15" hidden="0" customHeight="1">
      <x:c r="A412" s="7"/>
      <x:c r="B412" s="7"/>
      <x:c r="C412" s="7"/>
      <x:c r="D412" s="8"/>
      <x:c r="E412" s="7"/>
      <x:c r="F412" s="7"/>
      <x:c r="G412" s="7"/>
      <x:c r="H412" s="7"/>
      <x:c r="I412" s="7"/>
      <x:c r="J412" s="9"/>
      <x:c r="K412" s="10"/>
      <x:c r="L412" s="7"/>
      <x:c r="M412" s="8"/>
      <x:c r="N412" s="17"/>
      <x:c r="O412" s="17"/>
    </x:row>
    <x:row r="413" ht="15" hidden="0" customHeight="1">
      <x:c r="A413" s="7"/>
      <x:c r="B413" s="7"/>
      <x:c r="C413" s="7"/>
      <x:c r="D413" s="8"/>
      <x:c r="E413" s="7"/>
      <x:c r="F413" s="7"/>
      <x:c r="G413" s="7"/>
      <x:c r="H413" s="7"/>
      <x:c r="I413" s="7"/>
      <x:c r="J413" s="9"/>
      <x:c r="K413" s="10"/>
      <x:c r="L413" s="7"/>
      <x:c r="M413" s="8"/>
      <x:c r="N413" s="17"/>
      <x:c r="O413" s="17"/>
    </x:row>
    <x:row r="414" ht="15" hidden="0" customHeight="1">
      <x:c r="A414" s="7"/>
      <x:c r="B414" s="7"/>
      <x:c r="C414" s="7"/>
      <x:c r="D414" s="8"/>
      <x:c r="E414" s="7"/>
      <x:c r="F414" s="7"/>
      <x:c r="G414" s="7"/>
      <x:c r="H414" s="7"/>
      <x:c r="I414" s="7"/>
      <x:c r="J414" s="9"/>
      <x:c r="K414" s="10"/>
      <x:c r="L414" s="7"/>
      <x:c r="M414" s="8"/>
      <x:c r="N414" s="17"/>
      <x:c r="O414" s="17"/>
    </x:row>
    <x:row r="415" ht="15" hidden="0" customHeight="1">
      <x:c r="A415" s="7"/>
      <x:c r="B415" s="7"/>
      <x:c r="C415" s="7"/>
      <x:c r="D415" s="8"/>
      <x:c r="E415" s="7"/>
      <x:c r="F415" s="7"/>
      <x:c r="G415" s="7"/>
      <x:c r="H415" s="7"/>
      <x:c r="I415" s="7"/>
      <x:c r="J415" s="9"/>
      <x:c r="K415" s="10"/>
      <x:c r="L415" s="7"/>
      <x:c r="M415" s="8"/>
      <x:c r="N415" s="17"/>
      <x:c r="O415" s="17"/>
    </x:row>
    <x:row r="416" ht="15" hidden="0" customHeight="1">
      <x:c r="A416" s="7"/>
      <x:c r="B416" s="7"/>
      <x:c r="C416" s="7"/>
      <x:c r="D416" s="8"/>
      <x:c r="E416" s="7"/>
      <x:c r="F416" s="7"/>
      <x:c r="G416" s="7"/>
      <x:c r="H416" s="7"/>
      <x:c r="I416" s="7"/>
      <x:c r="J416" s="9"/>
      <x:c r="K416" s="10"/>
      <x:c r="L416" s="7"/>
      <x:c r="M416" s="8"/>
      <x:c r="N416" s="17"/>
      <x:c r="O416" s="17"/>
    </x:row>
    <x:row r="417" ht="15" hidden="0" customHeight="1">
      <x:c r="A417" s="7"/>
      <x:c r="B417" s="7"/>
      <x:c r="C417" s="7"/>
      <x:c r="D417" s="8"/>
      <x:c r="E417" s="7"/>
      <x:c r="F417" s="7"/>
      <x:c r="G417" s="7"/>
      <x:c r="H417" s="7"/>
      <x:c r="I417" s="7"/>
      <x:c r="J417" s="9"/>
      <x:c r="K417" s="10"/>
      <x:c r="L417" s="7"/>
      <x:c r="M417" s="8"/>
      <x:c r="N417" s="17"/>
      <x:c r="O417" s="17"/>
    </x:row>
    <x:row r="418" ht="15" hidden="0" customHeight="1">
      <x:c r="A418" s="7"/>
      <x:c r="B418" s="7"/>
      <x:c r="C418" s="7"/>
      <x:c r="D418" s="8"/>
      <x:c r="E418" s="7"/>
      <x:c r="F418" s="7"/>
      <x:c r="G418" s="7"/>
      <x:c r="H418" s="7"/>
      <x:c r="I418" s="7"/>
      <x:c r="J418" s="9"/>
      <x:c r="K418" s="10"/>
      <x:c r="L418" s="7"/>
      <x:c r="M418" s="8"/>
      <x:c r="N418" s="17"/>
      <x:c r="O418" s="17"/>
    </x:row>
    <x:row r="419" ht="15" hidden="0" customHeight="1">
      <x:c r="A419" s="7"/>
      <x:c r="B419" s="7"/>
      <x:c r="C419" s="7"/>
      <x:c r="D419" s="8"/>
      <x:c r="E419" s="7"/>
      <x:c r="F419" s="7"/>
      <x:c r="G419" s="7"/>
      <x:c r="H419" s="7"/>
      <x:c r="I419" s="7"/>
      <x:c r="J419" s="9"/>
      <x:c r="K419" s="10"/>
      <x:c r="L419" s="7"/>
      <x:c r="M419" s="8"/>
      <x:c r="N419" s="17"/>
      <x:c r="O419" s="17"/>
    </x:row>
    <x:row r="420" ht="15" hidden="0" customHeight="1">
      <x:c r="A420" s="7"/>
      <x:c r="B420" s="7"/>
      <x:c r="C420" s="7"/>
      <x:c r="D420" s="8"/>
      <x:c r="E420" s="7"/>
      <x:c r="F420" s="7"/>
      <x:c r="G420" s="7"/>
      <x:c r="H420" s="7"/>
      <x:c r="I420" s="7"/>
      <x:c r="J420" s="9"/>
      <x:c r="K420" s="10"/>
      <x:c r="L420" s="7"/>
      <x:c r="M420" s="8"/>
      <x:c r="N420" s="17"/>
      <x:c r="O420" s="17"/>
    </x:row>
    <x:row r="421" ht="15" hidden="0" customHeight="1">
      <x:c r="A421" s="7"/>
      <x:c r="B421" s="7"/>
      <x:c r="C421" s="7"/>
      <x:c r="D421" s="8"/>
      <x:c r="E421" s="7"/>
      <x:c r="F421" s="7"/>
      <x:c r="G421" s="7"/>
      <x:c r="H421" s="7"/>
      <x:c r="I421" s="7"/>
      <x:c r="J421" s="9"/>
      <x:c r="K421" s="10"/>
      <x:c r="L421" s="7"/>
      <x:c r="M421" s="8"/>
      <x:c r="N421" s="17"/>
      <x:c r="O421" s="17"/>
    </x:row>
    <x:row r="422" ht="15" hidden="0" customHeight="1">
      <x:c r="A422" s="7"/>
      <x:c r="B422" s="7"/>
      <x:c r="C422" s="7"/>
      <x:c r="D422" s="8"/>
      <x:c r="E422" s="7"/>
      <x:c r="F422" s="7"/>
      <x:c r="G422" s="7"/>
      <x:c r="H422" s="7"/>
      <x:c r="I422" s="7"/>
      <x:c r="J422" s="9"/>
      <x:c r="K422" s="10"/>
      <x:c r="L422" s="7"/>
      <x:c r="M422" s="8"/>
      <x:c r="N422" s="17"/>
      <x:c r="O422" s="17"/>
    </x:row>
    <x:row r="423" ht="15" hidden="0" customHeight="1">
      <x:c r="A423" s="7"/>
      <x:c r="B423" s="7"/>
      <x:c r="C423" s="7"/>
      <x:c r="D423" s="8"/>
      <x:c r="E423" s="7"/>
      <x:c r="F423" s="7"/>
      <x:c r="G423" s="7"/>
      <x:c r="H423" s="7"/>
      <x:c r="I423" s="7"/>
      <x:c r="J423" s="9"/>
      <x:c r="K423" s="10"/>
      <x:c r="L423" s="7"/>
      <x:c r="M423" s="8"/>
      <x:c r="N423" s="17"/>
      <x:c r="O423" s="17"/>
    </x:row>
    <x:row r="424" ht="15" hidden="0" customHeight="1">
      <x:c r="A424" s="7"/>
      <x:c r="B424" s="7"/>
      <x:c r="C424" s="7"/>
      <x:c r="D424" s="8"/>
      <x:c r="E424" s="7"/>
      <x:c r="F424" s="7"/>
      <x:c r="G424" s="7"/>
      <x:c r="H424" s="7"/>
      <x:c r="I424" s="7"/>
      <x:c r="J424" s="9"/>
      <x:c r="K424" s="10"/>
      <x:c r="L424" s="7"/>
      <x:c r="M424" s="8"/>
      <x:c r="N424" s="17"/>
      <x:c r="O424" s="17"/>
    </x:row>
    <x:row r="425" ht="15" hidden="0" customHeight="1">
      <x:c r="A425" s="7"/>
      <x:c r="B425" s="7"/>
      <x:c r="C425" s="7"/>
      <x:c r="D425" s="8"/>
      <x:c r="E425" s="7"/>
      <x:c r="F425" s="7"/>
      <x:c r="G425" s="7"/>
      <x:c r="H425" s="7"/>
      <x:c r="I425" s="7"/>
      <x:c r="J425" s="9"/>
      <x:c r="K425" s="10"/>
      <x:c r="L425" s="7"/>
      <x:c r="M425" s="8"/>
      <x:c r="N425" s="17"/>
      <x:c r="O425" s="17"/>
    </x:row>
    <x:row r="426" ht="15" hidden="0" customHeight="1">
      <x:c r="A426" s="7"/>
      <x:c r="B426" s="7"/>
      <x:c r="C426" s="7"/>
      <x:c r="D426" s="8"/>
      <x:c r="E426" s="7"/>
      <x:c r="F426" s="7"/>
      <x:c r="G426" s="7"/>
      <x:c r="H426" s="7"/>
      <x:c r="I426" s="7"/>
      <x:c r="J426" s="9"/>
      <x:c r="K426" s="10"/>
      <x:c r="L426" s="7"/>
      <x:c r="M426" s="8"/>
      <x:c r="N426" s="17"/>
      <x:c r="O426" s="17"/>
    </x:row>
    <x:row r="427" ht="15" hidden="0" customHeight="1">
      <x:c r="A427" s="7"/>
      <x:c r="B427" s="7"/>
      <x:c r="C427" s="7"/>
      <x:c r="D427" s="8"/>
      <x:c r="E427" s="7"/>
      <x:c r="F427" s="7"/>
      <x:c r="G427" s="7"/>
      <x:c r="H427" s="7"/>
      <x:c r="I427" s="7"/>
      <x:c r="J427" s="9"/>
      <x:c r="K427" s="10"/>
      <x:c r="L427" s="7"/>
      <x:c r="M427" s="8"/>
      <x:c r="N427" s="17"/>
      <x:c r="O427" s="17"/>
    </x:row>
    <x:row r="428" ht="15" hidden="0" customHeight="1">
      <x:c r="A428" s="7"/>
      <x:c r="B428" s="7"/>
      <x:c r="C428" s="7"/>
      <x:c r="D428" s="8"/>
      <x:c r="E428" s="7"/>
      <x:c r="F428" s="7"/>
      <x:c r="G428" s="7"/>
      <x:c r="H428" s="7"/>
      <x:c r="I428" s="7"/>
      <x:c r="J428" s="9"/>
      <x:c r="K428" s="10"/>
      <x:c r="L428" s="7"/>
      <x:c r="M428" s="8"/>
      <x:c r="N428" s="17"/>
      <x:c r="O428" s="17"/>
    </x:row>
    <x:row r="429" ht="15" hidden="0" customHeight="1">
      <x:c r="A429" s="7"/>
      <x:c r="B429" s="7"/>
      <x:c r="C429" s="7"/>
      <x:c r="D429" s="8"/>
      <x:c r="E429" s="7"/>
      <x:c r="F429" s="7"/>
      <x:c r="G429" s="7"/>
      <x:c r="H429" s="7"/>
      <x:c r="I429" s="7"/>
      <x:c r="J429" s="9"/>
      <x:c r="K429" s="10"/>
      <x:c r="L429" s="7"/>
      <x:c r="M429" s="8"/>
      <x:c r="N429" s="17"/>
      <x:c r="O429" s="17"/>
    </x:row>
    <x:row r="430" ht="15" hidden="0" customHeight="1">
      <x:c r="A430" s="7"/>
      <x:c r="B430" s="7"/>
      <x:c r="C430" s="7"/>
      <x:c r="D430" s="8"/>
      <x:c r="E430" s="7"/>
      <x:c r="F430" s="7"/>
      <x:c r="G430" s="7"/>
      <x:c r="H430" s="7"/>
      <x:c r="I430" s="7"/>
      <x:c r="J430" s="9"/>
      <x:c r="K430" s="10"/>
      <x:c r="L430" s="7"/>
      <x:c r="M430" s="8"/>
      <x:c r="N430" s="17"/>
      <x:c r="O430" s="17"/>
    </x:row>
    <x:row r="431" ht="15" hidden="0" customHeight="1">
      <x:c r="A431" s="7"/>
      <x:c r="B431" s="7"/>
      <x:c r="C431" s="7"/>
      <x:c r="D431" s="8"/>
      <x:c r="E431" s="7"/>
      <x:c r="F431" s="7"/>
      <x:c r="G431" s="7"/>
      <x:c r="H431" s="7"/>
      <x:c r="I431" s="7"/>
      <x:c r="J431" s="9"/>
      <x:c r="K431" s="10"/>
      <x:c r="L431" s="7"/>
      <x:c r="M431" s="8"/>
      <x:c r="N431" s="17"/>
      <x:c r="O431" s="17"/>
    </x:row>
    <x:row r="432" ht="15" hidden="0" customHeight="1">
      <x:c r="A432" s="7"/>
      <x:c r="B432" s="7"/>
      <x:c r="C432" s="7"/>
      <x:c r="D432" s="8"/>
      <x:c r="E432" s="7"/>
      <x:c r="F432" s="7"/>
      <x:c r="G432" s="7"/>
      <x:c r="H432" s="7"/>
      <x:c r="I432" s="7"/>
      <x:c r="J432" s="9"/>
      <x:c r="K432" s="10"/>
      <x:c r="L432" s="7"/>
      <x:c r="M432" s="8"/>
      <x:c r="N432" s="17"/>
      <x:c r="O432" s="17"/>
    </x:row>
    <x:row r="433" ht="15" hidden="0" customHeight="1">
      <x:c r="A433" s="7"/>
      <x:c r="B433" s="7"/>
      <x:c r="C433" s="7"/>
      <x:c r="D433" s="8"/>
      <x:c r="E433" s="7"/>
      <x:c r="F433" s="7"/>
      <x:c r="G433" s="7"/>
      <x:c r="H433" s="7"/>
      <x:c r="I433" s="7"/>
      <x:c r="J433" s="9"/>
      <x:c r="K433" s="10"/>
      <x:c r="L433" s="7"/>
      <x:c r="M433" s="8"/>
      <x:c r="N433" s="17"/>
      <x:c r="O433" s="17"/>
    </x:row>
    <x:row r="434" ht="15" hidden="0" customHeight="1">
      <x:c r="A434" s="7"/>
      <x:c r="B434" s="7"/>
      <x:c r="C434" s="7"/>
      <x:c r="D434" s="8"/>
      <x:c r="E434" s="7"/>
      <x:c r="F434" s="7"/>
      <x:c r="G434" s="7"/>
      <x:c r="H434" s="7"/>
      <x:c r="I434" s="7"/>
      <x:c r="J434" s="9"/>
      <x:c r="K434" s="10"/>
      <x:c r="L434" s="7"/>
      <x:c r="M434" s="8"/>
      <x:c r="N434" s="17"/>
      <x:c r="O434" s="17"/>
    </x:row>
    <x:row r="435" ht="15" hidden="0" customHeight="1">
      <x:c r="A435" s="7"/>
      <x:c r="B435" s="7"/>
      <x:c r="C435" s="7"/>
      <x:c r="D435" s="8"/>
      <x:c r="E435" s="7"/>
      <x:c r="F435" s="7"/>
      <x:c r="G435" s="7"/>
      <x:c r="H435" s="7"/>
      <x:c r="I435" s="7"/>
      <x:c r="J435" s="9"/>
      <x:c r="K435" s="10"/>
      <x:c r="L435" s="7"/>
      <x:c r="M435" s="8"/>
      <x:c r="N435" s="17"/>
      <x:c r="O435" s="17"/>
    </x:row>
    <x:row r="436" ht="15" hidden="0" customHeight="1">
      <x:c r="A436" s="7"/>
      <x:c r="B436" s="7"/>
      <x:c r="C436" s="7"/>
      <x:c r="D436" s="8"/>
      <x:c r="E436" s="7"/>
      <x:c r="F436" s="7"/>
      <x:c r="G436" s="7"/>
      <x:c r="H436" s="7"/>
      <x:c r="I436" s="7"/>
      <x:c r="J436" s="9"/>
      <x:c r="K436" s="10"/>
      <x:c r="L436" s="7"/>
      <x:c r="M436" s="8"/>
      <x:c r="N436" s="17"/>
      <x:c r="O436" s="17"/>
    </x:row>
    <x:row r="437" ht="15" hidden="0" customHeight="1">
      <x:c r="A437" s="7"/>
      <x:c r="B437" s="7"/>
      <x:c r="C437" s="7"/>
      <x:c r="D437" s="8"/>
      <x:c r="E437" s="7"/>
      <x:c r="F437" s="7"/>
      <x:c r="G437" s="7"/>
      <x:c r="H437" s="7"/>
      <x:c r="I437" s="7"/>
      <x:c r="J437" s="9"/>
      <x:c r="K437" s="10"/>
      <x:c r="L437" s="7"/>
      <x:c r="M437" s="8"/>
      <x:c r="N437" s="17"/>
      <x:c r="O437" s="17"/>
    </x:row>
    <x:row r="438" ht="15" hidden="0" customHeight="1">
      <x:c r="A438" s="7"/>
      <x:c r="B438" s="7"/>
      <x:c r="C438" s="7"/>
      <x:c r="D438" s="8"/>
      <x:c r="E438" s="7"/>
      <x:c r="F438" s="7"/>
      <x:c r="G438" s="7"/>
      <x:c r="H438" s="7"/>
      <x:c r="I438" s="7"/>
      <x:c r="J438" s="9"/>
      <x:c r="K438" s="10"/>
      <x:c r="L438" s="7"/>
      <x:c r="M438" s="8"/>
      <x:c r="N438" s="17"/>
      <x:c r="O438" s="17"/>
    </x:row>
    <x:row r="439" ht="15" hidden="0" customHeight="1">
      <x:c r="A439" s="7"/>
      <x:c r="B439" s="7"/>
      <x:c r="C439" s="7"/>
      <x:c r="D439" s="8"/>
      <x:c r="E439" s="7"/>
      <x:c r="F439" s="7"/>
      <x:c r="G439" s="7"/>
      <x:c r="H439" s="7"/>
      <x:c r="I439" s="7"/>
      <x:c r="J439" s="9"/>
      <x:c r="K439" s="10"/>
      <x:c r="L439" s="7"/>
      <x:c r="M439" s="8"/>
      <x:c r="N439" s="17"/>
      <x:c r="O439" s="17"/>
    </x:row>
    <x:row r="440" ht="15" hidden="0" customHeight="1">
      <x:c r="A440" s="7"/>
      <x:c r="B440" s="7"/>
      <x:c r="C440" s="7"/>
      <x:c r="D440" s="8"/>
      <x:c r="E440" s="7"/>
      <x:c r="F440" s="7"/>
      <x:c r="G440" s="7"/>
      <x:c r="H440" s="7"/>
      <x:c r="I440" s="7"/>
      <x:c r="J440" s="9"/>
      <x:c r="K440" s="10"/>
      <x:c r="L440" s="7"/>
      <x:c r="M440" s="8"/>
      <x:c r="N440" s="17"/>
      <x:c r="O440" s="17"/>
    </x:row>
    <x:row r="441" ht="15" hidden="0" customHeight="1">
      <x:c r="A441" s="7"/>
      <x:c r="B441" s="7"/>
      <x:c r="C441" s="7"/>
      <x:c r="D441" s="8"/>
      <x:c r="E441" s="7"/>
      <x:c r="F441" s="7"/>
      <x:c r="G441" s="7"/>
      <x:c r="H441" s="7"/>
      <x:c r="I441" s="7"/>
      <x:c r="J441" s="9"/>
      <x:c r="K441" s="10"/>
      <x:c r="L441" s="7"/>
      <x:c r="M441" s="8"/>
      <x:c r="N441" s="17"/>
      <x:c r="O441" s="17"/>
    </x:row>
    <x:row r="442" ht="15" hidden="0" customHeight="1">
      <x:c r="A442" s="7"/>
      <x:c r="B442" s="7"/>
      <x:c r="C442" s="7"/>
      <x:c r="D442" s="8"/>
      <x:c r="E442" s="7"/>
      <x:c r="F442" s="7"/>
      <x:c r="G442" s="7"/>
      <x:c r="H442" s="7"/>
      <x:c r="I442" s="7"/>
      <x:c r="J442" s="9"/>
      <x:c r="K442" s="10"/>
      <x:c r="L442" s="7"/>
      <x:c r="M442" s="8"/>
      <x:c r="N442" s="17"/>
      <x:c r="O442" s="17"/>
    </x:row>
    <x:row r="443" ht="15" hidden="0" customHeight="1">
      <x:c r="A443" s="7"/>
      <x:c r="B443" s="7"/>
      <x:c r="C443" s="7"/>
      <x:c r="D443" s="8"/>
      <x:c r="E443" s="7"/>
      <x:c r="F443" s="7"/>
      <x:c r="G443" s="7"/>
      <x:c r="H443" s="7"/>
      <x:c r="I443" s="7"/>
      <x:c r="J443" s="9"/>
      <x:c r="K443" s="10"/>
      <x:c r="L443" s="7"/>
      <x:c r="M443" s="8"/>
      <x:c r="N443" s="17"/>
      <x:c r="O443" s="17"/>
    </x:row>
    <x:row r="444" ht="15" hidden="0" customHeight="1">
      <x:c r="A444" s="7"/>
      <x:c r="B444" s="7"/>
      <x:c r="C444" s="7"/>
      <x:c r="D444" s="8"/>
      <x:c r="E444" s="7"/>
      <x:c r="F444" s="7"/>
      <x:c r="G444" s="7"/>
      <x:c r="H444" s="7"/>
      <x:c r="I444" s="7"/>
      <x:c r="J444" s="9"/>
      <x:c r="K444" s="10"/>
      <x:c r="L444" s="7"/>
      <x:c r="M444" s="8"/>
      <x:c r="N444" s="17"/>
      <x:c r="O444" s="17"/>
    </x:row>
    <x:row r="445" ht="15" hidden="0" customHeight="1">
      <x:c r="A445" s="7"/>
      <x:c r="B445" s="7"/>
      <x:c r="C445" s="7"/>
      <x:c r="D445" s="8"/>
      <x:c r="E445" s="7"/>
      <x:c r="F445" s="7"/>
      <x:c r="G445" s="7"/>
      <x:c r="H445" s="7"/>
      <x:c r="I445" s="7"/>
      <x:c r="J445" s="9"/>
      <x:c r="K445" s="10"/>
      <x:c r="L445" s="7"/>
      <x:c r="M445" s="8"/>
      <x:c r="N445" s="17"/>
      <x:c r="O445" s="17"/>
    </x:row>
    <x:row r="446" ht="15" hidden="0" customHeight="1">
      <x:c r="A446" s="7"/>
      <x:c r="B446" s="7"/>
      <x:c r="C446" s="7"/>
      <x:c r="D446" s="8"/>
      <x:c r="E446" s="7"/>
      <x:c r="F446" s="7"/>
      <x:c r="G446" s="7"/>
      <x:c r="H446" s="7"/>
      <x:c r="I446" s="7"/>
      <x:c r="J446" s="9"/>
      <x:c r="K446" s="10"/>
      <x:c r="L446" s="7"/>
      <x:c r="M446" s="8"/>
      <x:c r="N446" s="17"/>
      <x:c r="O446" s="17"/>
    </x:row>
    <x:row r="447" ht="15" hidden="0" customHeight="1">
      <x:c r="A447" s="7"/>
      <x:c r="B447" s="7"/>
      <x:c r="C447" s="7"/>
      <x:c r="D447" s="8"/>
      <x:c r="E447" s="7"/>
      <x:c r="F447" s="7"/>
      <x:c r="G447" s="7"/>
      <x:c r="H447" s="7"/>
      <x:c r="I447" s="7"/>
      <x:c r="J447" s="9"/>
      <x:c r="K447" s="10"/>
      <x:c r="L447" s="7"/>
      <x:c r="M447" s="8"/>
      <x:c r="N447" s="17"/>
      <x:c r="O447" s="17"/>
    </x:row>
    <x:row r="448" ht="15" hidden="0" customHeight="1">
      <x:c r="A448" s="7"/>
      <x:c r="B448" s="7"/>
      <x:c r="C448" s="7"/>
      <x:c r="D448" s="8"/>
      <x:c r="E448" s="7"/>
      <x:c r="F448" s="7"/>
      <x:c r="G448" s="7"/>
      <x:c r="H448" s="7"/>
      <x:c r="I448" s="7"/>
      <x:c r="J448" s="9"/>
      <x:c r="K448" s="10"/>
      <x:c r="L448" s="7"/>
      <x:c r="M448" s="8"/>
      <x:c r="N448" s="17"/>
      <x:c r="O448" s="17"/>
    </x:row>
    <x:row r="449" ht="15" hidden="0" customHeight="1">
      <x:c r="A449" s="7"/>
      <x:c r="B449" s="7"/>
      <x:c r="C449" s="7"/>
      <x:c r="D449" s="8"/>
      <x:c r="E449" s="7"/>
      <x:c r="F449" s="7"/>
      <x:c r="G449" s="7"/>
      <x:c r="H449" s="7"/>
      <x:c r="I449" s="7"/>
      <x:c r="J449" s="9"/>
      <x:c r="K449" s="10"/>
      <x:c r="L449" s="7"/>
      <x:c r="M449" s="8"/>
      <x:c r="N449" s="17"/>
      <x:c r="O449" s="17"/>
    </x:row>
    <x:row r="450" ht="15" hidden="0" customHeight="1">
      <x:c r="A450" s="7"/>
      <x:c r="B450" s="7"/>
      <x:c r="C450" s="7"/>
      <x:c r="D450" s="8"/>
      <x:c r="E450" s="7"/>
      <x:c r="F450" s="7"/>
      <x:c r="G450" s="7"/>
      <x:c r="H450" s="7"/>
      <x:c r="I450" s="7"/>
      <x:c r="J450" s="9"/>
      <x:c r="K450" s="10"/>
      <x:c r="L450" s="7"/>
      <x:c r="M450" s="8"/>
      <x:c r="N450" s="17"/>
      <x:c r="O450" s="17"/>
    </x:row>
    <x:row r="451" ht="15" hidden="0" customHeight="1">
      <x:c r="A451" s="7"/>
      <x:c r="B451" s="7"/>
      <x:c r="C451" s="7"/>
      <x:c r="D451" s="8"/>
      <x:c r="E451" s="7"/>
      <x:c r="F451" s="7"/>
      <x:c r="G451" s="7"/>
      <x:c r="H451" s="7"/>
      <x:c r="I451" s="7"/>
      <x:c r="J451" s="9"/>
      <x:c r="K451" s="10"/>
      <x:c r="L451" s="7"/>
      <x:c r="M451" s="8"/>
      <x:c r="N451" s="17"/>
      <x:c r="O451" s="17"/>
    </x:row>
    <x:row r="452" ht="15" hidden="0" customHeight="1">
      <x:c r="A452" s="7"/>
      <x:c r="B452" s="7"/>
      <x:c r="C452" s="7"/>
      <x:c r="D452" s="8"/>
      <x:c r="E452" s="7"/>
      <x:c r="F452" s="7"/>
      <x:c r="G452" s="7"/>
      <x:c r="H452" s="7"/>
      <x:c r="I452" s="7"/>
      <x:c r="J452" s="9"/>
      <x:c r="K452" s="10"/>
      <x:c r="L452" s="7"/>
      <x:c r="M452" s="8"/>
      <x:c r="N452" s="17"/>
      <x:c r="O452" s="17"/>
    </x:row>
    <x:row r="453" ht="15" hidden="0" customHeight="1">
      <x:c r="A453" s="7"/>
      <x:c r="B453" s="7"/>
      <x:c r="C453" s="7"/>
      <x:c r="D453" s="8"/>
      <x:c r="E453" s="7"/>
      <x:c r="F453" s="7"/>
      <x:c r="G453" s="7"/>
      <x:c r="H453" s="7"/>
      <x:c r="I453" s="7"/>
      <x:c r="J453" s="9"/>
      <x:c r="K453" s="10"/>
      <x:c r="L453" s="7"/>
      <x:c r="M453" s="8"/>
      <x:c r="N453" s="17"/>
      <x:c r="O453" s="17"/>
    </x:row>
    <x:row r="454" ht="15" hidden="0" customHeight="1">
      <x:c r="A454" s="7"/>
      <x:c r="B454" s="7"/>
      <x:c r="C454" s="7"/>
      <x:c r="D454" s="8"/>
      <x:c r="E454" s="7"/>
      <x:c r="F454" s="7"/>
      <x:c r="G454" s="7"/>
      <x:c r="H454" s="7"/>
      <x:c r="I454" s="7"/>
      <x:c r="J454" s="9"/>
      <x:c r="K454" s="10"/>
      <x:c r="L454" s="7"/>
      <x:c r="M454" s="8"/>
      <x:c r="N454" s="17"/>
      <x:c r="O454" s="17"/>
    </x:row>
    <x:row r="455" ht="15" hidden="0" customHeight="1">
      <x:c r="A455" s="7"/>
      <x:c r="B455" s="7"/>
      <x:c r="C455" s="7"/>
      <x:c r="D455" s="8"/>
      <x:c r="E455" s="7"/>
      <x:c r="F455" s="7"/>
      <x:c r="G455" s="7"/>
      <x:c r="H455" s="7"/>
      <x:c r="I455" s="7"/>
      <x:c r="J455" s="9"/>
      <x:c r="K455" s="10"/>
      <x:c r="L455" s="7"/>
      <x:c r="M455" s="8"/>
      <x:c r="N455" s="17"/>
      <x:c r="O455" s="17"/>
    </x:row>
    <x:row r="456" ht="15" hidden="0" customHeight="1">
      <x:c r="A456" s="7"/>
      <x:c r="B456" s="7"/>
      <x:c r="C456" s="7"/>
      <x:c r="D456" s="8"/>
      <x:c r="E456" s="7"/>
      <x:c r="F456" s="7"/>
      <x:c r="G456" s="7"/>
      <x:c r="H456" s="7"/>
      <x:c r="I456" s="7"/>
      <x:c r="J456" s="9"/>
      <x:c r="K456" s="10"/>
      <x:c r="L456" s="7"/>
      <x:c r="M456" s="8"/>
      <x:c r="N456" s="17"/>
      <x:c r="O456" s="17"/>
    </x:row>
    <x:row r="457" ht="15" hidden="0" customHeight="1">
      <x:c r="A457" s="7"/>
      <x:c r="B457" s="7"/>
      <x:c r="C457" s="7"/>
      <x:c r="D457" s="8"/>
      <x:c r="E457" s="7"/>
      <x:c r="F457" s="7"/>
      <x:c r="G457" s="7"/>
      <x:c r="H457" s="7"/>
      <x:c r="I457" s="7"/>
      <x:c r="J457" s="9"/>
      <x:c r="K457" s="10"/>
      <x:c r="L457" s="7"/>
      <x:c r="M457" s="8"/>
      <x:c r="N457" s="17"/>
      <x:c r="O457" s="17"/>
    </x:row>
    <x:row r="458" ht="15" hidden="0" customHeight="1">
      <x:c r="A458" s="7"/>
      <x:c r="B458" s="7"/>
      <x:c r="C458" s="7"/>
      <x:c r="D458" s="8"/>
      <x:c r="E458" s="7"/>
      <x:c r="F458" s="7"/>
      <x:c r="G458" s="7"/>
      <x:c r="H458" s="7"/>
      <x:c r="I458" s="7"/>
      <x:c r="J458" s="9"/>
      <x:c r="K458" s="10"/>
      <x:c r="L458" s="7"/>
      <x:c r="M458" s="8"/>
      <x:c r="N458" s="17"/>
      <x:c r="O458" s="17"/>
    </x:row>
    <x:row r="459" ht="15" hidden="0" customHeight="1">
      <x:c r="A459" s="7"/>
      <x:c r="B459" s="7"/>
      <x:c r="C459" s="7"/>
      <x:c r="D459" s="8"/>
      <x:c r="E459" s="7"/>
      <x:c r="F459" s="7"/>
      <x:c r="G459" s="7"/>
      <x:c r="H459" s="7"/>
      <x:c r="I459" s="7"/>
      <x:c r="J459" s="9"/>
      <x:c r="K459" s="10"/>
      <x:c r="L459" s="7"/>
      <x:c r="M459" s="8"/>
      <x:c r="N459" s="17"/>
      <x:c r="O459" s="17"/>
    </x:row>
    <x:row r="460" ht="15" hidden="0" customHeight="1">
      <x:c r="A460" s="7"/>
      <x:c r="B460" s="7"/>
      <x:c r="C460" s="7"/>
      <x:c r="D460" s="8"/>
      <x:c r="E460" s="7"/>
      <x:c r="F460" s="7"/>
      <x:c r="G460" s="7"/>
      <x:c r="H460" s="7"/>
      <x:c r="I460" s="7"/>
      <x:c r="J460" s="9"/>
      <x:c r="K460" s="10"/>
      <x:c r="L460" s="7"/>
      <x:c r="M460" s="8"/>
      <x:c r="N460" s="17"/>
      <x:c r="O460" s="17"/>
    </x:row>
    <x:row r="461" ht="15" hidden="0" customHeight="1">
      <x:c r="A461" s="7"/>
      <x:c r="B461" s="7"/>
      <x:c r="C461" s="7"/>
      <x:c r="D461" s="8"/>
      <x:c r="E461" s="7"/>
      <x:c r="F461" s="7"/>
      <x:c r="G461" s="7"/>
      <x:c r="H461" s="7"/>
      <x:c r="I461" s="7"/>
      <x:c r="J461" s="9"/>
      <x:c r="K461" s="10"/>
      <x:c r="L461" s="7"/>
      <x:c r="M461" s="8"/>
      <x:c r="N461" s="17"/>
      <x:c r="O461" s="17"/>
    </x:row>
    <x:row r="462" ht="15" hidden="0" customHeight="1">
      <x:c r="A462" s="7"/>
      <x:c r="B462" s="7"/>
      <x:c r="C462" s="7"/>
      <x:c r="D462" s="8"/>
      <x:c r="E462" s="7"/>
      <x:c r="F462" s="7"/>
      <x:c r="G462" s="7"/>
      <x:c r="H462" s="7"/>
      <x:c r="I462" s="7"/>
      <x:c r="J462" s="9"/>
      <x:c r="K462" s="10"/>
      <x:c r="L462" s="7"/>
      <x:c r="M462" s="8"/>
      <x:c r="N462" s="17"/>
      <x:c r="O462" s="17"/>
    </x:row>
    <x:row r="463" ht="15" hidden="0" customHeight="1">
      <x:c r="A463" s="7"/>
      <x:c r="B463" s="7"/>
      <x:c r="C463" s="7"/>
      <x:c r="D463" s="8"/>
      <x:c r="E463" s="7"/>
      <x:c r="F463" s="7"/>
      <x:c r="G463" s="7"/>
      <x:c r="H463" s="7"/>
      <x:c r="I463" s="7"/>
      <x:c r="J463" s="9"/>
      <x:c r="K463" s="10"/>
      <x:c r="L463" s="7"/>
      <x:c r="M463" s="8"/>
      <x:c r="N463" s="17"/>
      <x:c r="O463" s="17"/>
    </x:row>
    <x:row r="464" ht="15" hidden="0" customHeight="1">
      <x:c r="A464" s="7"/>
      <x:c r="B464" s="7"/>
      <x:c r="C464" s="7"/>
      <x:c r="D464" s="8"/>
      <x:c r="E464" s="7"/>
      <x:c r="F464" s="7"/>
      <x:c r="G464" s="7"/>
      <x:c r="H464" s="7"/>
      <x:c r="I464" s="7"/>
      <x:c r="J464" s="9"/>
      <x:c r="K464" s="10"/>
      <x:c r="L464" s="7"/>
      <x:c r="M464" s="8"/>
      <x:c r="N464" s="17"/>
      <x:c r="O464" s="17"/>
    </x:row>
    <x:row r="465" ht="15" hidden="0" customHeight="1">
      <x:c r="A465" s="7"/>
      <x:c r="B465" s="7"/>
      <x:c r="C465" s="7"/>
      <x:c r="D465" s="8"/>
      <x:c r="E465" s="7"/>
      <x:c r="F465" s="7"/>
      <x:c r="G465" s="7"/>
      <x:c r="H465" s="7"/>
      <x:c r="I465" s="7"/>
      <x:c r="J465" s="9"/>
      <x:c r="K465" s="10"/>
      <x:c r="L465" s="7"/>
      <x:c r="M465" s="8"/>
      <x:c r="N465" s="17"/>
      <x:c r="O465" s="17"/>
    </x:row>
    <x:row r="466" ht="15" hidden="0" customHeight="1">
      <x:c r="A466" s="7"/>
      <x:c r="B466" s="7"/>
      <x:c r="C466" s="7"/>
      <x:c r="D466" s="8"/>
      <x:c r="E466" s="7"/>
      <x:c r="F466" s="7"/>
      <x:c r="G466" s="7"/>
      <x:c r="H466" s="7"/>
      <x:c r="I466" s="7"/>
      <x:c r="J466" s="9"/>
      <x:c r="K466" s="10"/>
      <x:c r="L466" s="7"/>
      <x:c r="M466" s="8"/>
      <x:c r="N466" s="17"/>
      <x:c r="O466" s="17"/>
    </x:row>
    <x:row r="467" ht="15" hidden="0" customHeight="1">
      <x:c r="A467" s="7"/>
      <x:c r="B467" s="7"/>
      <x:c r="C467" s="7"/>
      <x:c r="D467" s="8"/>
      <x:c r="E467" s="7"/>
      <x:c r="F467" s="7"/>
      <x:c r="G467" s="7"/>
      <x:c r="H467" s="7"/>
      <x:c r="I467" s="7"/>
      <x:c r="J467" s="9"/>
      <x:c r="K467" s="10"/>
      <x:c r="L467" s="7"/>
      <x:c r="M467" s="8"/>
      <x:c r="N467" s="17"/>
      <x:c r="O467" s="17"/>
    </x:row>
    <x:row r="468" ht="15" hidden="0" customHeight="1">
      <x:c r="A468" s="7"/>
      <x:c r="B468" s="7"/>
      <x:c r="C468" s="7"/>
      <x:c r="D468" s="8"/>
      <x:c r="E468" s="7"/>
      <x:c r="F468" s="7"/>
      <x:c r="G468" s="7"/>
      <x:c r="H468" s="7"/>
      <x:c r="I468" s="7"/>
      <x:c r="J468" s="9"/>
      <x:c r="K468" s="10"/>
      <x:c r="L468" s="7"/>
      <x:c r="M468" s="8"/>
      <x:c r="N468" s="17"/>
      <x:c r="O468" s="17"/>
    </x:row>
    <x:row r="469" ht="15" hidden="0" customHeight="1">
      <x:c r="A469" s="7"/>
      <x:c r="B469" s="7"/>
      <x:c r="C469" s="7"/>
      <x:c r="D469" s="8"/>
      <x:c r="E469" s="7"/>
      <x:c r="F469" s="7"/>
      <x:c r="G469" s="7"/>
      <x:c r="H469" s="7"/>
      <x:c r="I469" s="7"/>
      <x:c r="J469" s="9"/>
      <x:c r="K469" s="10"/>
      <x:c r="L469" s="7"/>
      <x:c r="M469" s="8"/>
      <x:c r="N469" s="17"/>
      <x:c r="O469" s="17"/>
    </x:row>
    <x:row r="470" ht="15" hidden="0" customHeight="1">
      <x:c r="A470" s="7"/>
      <x:c r="B470" s="7"/>
      <x:c r="C470" s="7"/>
      <x:c r="D470" s="8"/>
      <x:c r="E470" s="7"/>
      <x:c r="F470" s="7"/>
      <x:c r="G470" s="7"/>
      <x:c r="H470" s="7"/>
      <x:c r="I470" s="7"/>
      <x:c r="J470" s="9"/>
      <x:c r="K470" s="10"/>
      <x:c r="L470" s="7"/>
      <x:c r="M470" s="8"/>
      <x:c r="N470" s="17"/>
      <x:c r="O470" s="17"/>
    </x:row>
    <x:row r="471" ht="15" hidden="0" customHeight="1">
      <x:c r="A471" s="7"/>
      <x:c r="B471" s="7"/>
      <x:c r="C471" s="7"/>
      <x:c r="D471" s="8"/>
      <x:c r="E471" s="7"/>
      <x:c r="F471" s="7"/>
      <x:c r="G471" s="7"/>
      <x:c r="H471" s="7"/>
      <x:c r="I471" s="7"/>
      <x:c r="J471" s="9"/>
      <x:c r="K471" s="10"/>
      <x:c r="L471" s="7"/>
      <x:c r="M471" s="8"/>
      <x:c r="N471" s="17"/>
      <x:c r="O471" s="17"/>
    </x:row>
    <x:row r="472" ht="15" hidden="0" customHeight="1">
      <x:c r="A472" s="7"/>
      <x:c r="B472" s="7"/>
      <x:c r="C472" s="7"/>
      <x:c r="D472" s="8"/>
      <x:c r="E472" s="7"/>
      <x:c r="F472" s="7"/>
      <x:c r="G472" s="7"/>
      <x:c r="H472" s="7"/>
      <x:c r="I472" s="7"/>
      <x:c r="J472" s="9"/>
      <x:c r="K472" s="10"/>
      <x:c r="L472" s="7"/>
      <x:c r="M472" s="8"/>
      <x:c r="N472" s="17"/>
      <x:c r="O472" s="17"/>
    </x:row>
    <x:row r="473" ht="15" hidden="0" customHeight="1">
      <x:c r="A473" s="7"/>
      <x:c r="B473" s="7"/>
      <x:c r="C473" s="7"/>
      <x:c r="D473" s="8"/>
      <x:c r="E473" s="7"/>
      <x:c r="F473" s="7"/>
      <x:c r="G473" s="7"/>
      <x:c r="H473" s="7"/>
      <x:c r="I473" s="7"/>
      <x:c r="J473" s="9"/>
      <x:c r="K473" s="10"/>
      <x:c r="L473" s="7"/>
      <x:c r="M473" s="8"/>
      <x:c r="N473" s="17"/>
      <x:c r="O473" s="17"/>
    </x:row>
    <x:row r="474" ht="15" hidden="0" customHeight="1">
      <x:c r="A474" s="7"/>
      <x:c r="B474" s="7"/>
      <x:c r="C474" s="7"/>
      <x:c r="D474" s="8"/>
      <x:c r="E474" s="7"/>
      <x:c r="F474" s="7"/>
      <x:c r="G474" s="7"/>
      <x:c r="H474" s="7"/>
      <x:c r="I474" s="7"/>
      <x:c r="J474" s="9"/>
      <x:c r="K474" s="10"/>
      <x:c r="L474" s="7"/>
      <x:c r="M474" s="8"/>
      <x:c r="N474" s="17"/>
      <x:c r="O474" s="17"/>
    </x:row>
    <x:row r="475" ht="15" hidden="0" customHeight="1">
      <x:c r="A475" s="7"/>
      <x:c r="B475" s="7"/>
      <x:c r="C475" s="7"/>
      <x:c r="D475" s="8"/>
      <x:c r="E475" s="7"/>
      <x:c r="F475" s="7"/>
      <x:c r="G475" s="7"/>
      <x:c r="H475" s="7"/>
      <x:c r="I475" s="7"/>
      <x:c r="J475" s="9"/>
      <x:c r="K475" s="10"/>
      <x:c r="L475" s="7"/>
      <x:c r="M475" s="8"/>
      <x:c r="N475" s="17"/>
      <x:c r="O475" s="17"/>
    </x:row>
    <x:row r="476" ht="15" hidden="0" customHeight="1">
      <x:c r="A476" s="7"/>
      <x:c r="B476" s="7"/>
      <x:c r="C476" s="7"/>
      <x:c r="D476" s="8"/>
      <x:c r="E476" s="7"/>
      <x:c r="F476" s="7"/>
      <x:c r="G476" s="7"/>
      <x:c r="H476" s="7"/>
      <x:c r="I476" s="7"/>
      <x:c r="J476" s="9"/>
      <x:c r="K476" s="10"/>
      <x:c r="L476" s="7"/>
      <x:c r="M476" s="8"/>
      <x:c r="N476" s="17"/>
      <x:c r="O476" s="17"/>
    </x:row>
    <x:row r="477" ht="15" hidden="0" customHeight="1">
      <x:c r="A477" s="7"/>
      <x:c r="B477" s="7"/>
      <x:c r="C477" s="7"/>
      <x:c r="D477" s="8"/>
      <x:c r="E477" s="7"/>
      <x:c r="F477" s="7"/>
      <x:c r="G477" s="7"/>
      <x:c r="H477" s="7"/>
      <x:c r="I477" s="7"/>
      <x:c r="J477" s="9"/>
      <x:c r="K477" s="10"/>
      <x:c r="L477" s="7"/>
      <x:c r="M477" s="8"/>
      <x:c r="N477" s="17"/>
      <x:c r="O477" s="17"/>
    </x:row>
    <x:row r="478" ht="15" hidden="0" customHeight="1">
      <x:c r="A478" s="7"/>
      <x:c r="B478" s="7"/>
      <x:c r="C478" s="7"/>
      <x:c r="D478" s="8"/>
      <x:c r="E478" s="7"/>
      <x:c r="F478" s="7"/>
      <x:c r="G478" s="7"/>
      <x:c r="H478" s="7"/>
      <x:c r="I478" s="7"/>
      <x:c r="J478" s="9"/>
      <x:c r="K478" s="10"/>
      <x:c r="L478" s="7"/>
      <x:c r="M478" s="8"/>
      <x:c r="N478" s="17"/>
      <x:c r="O478" s="17"/>
    </x:row>
    <x:row r="479" ht="15" hidden="0" customHeight="1">
      <x:c r="A479" s="7"/>
      <x:c r="B479" s="7"/>
      <x:c r="C479" s="7"/>
      <x:c r="D479" s="8"/>
      <x:c r="E479" s="7"/>
      <x:c r="F479" s="7"/>
      <x:c r="G479" s="7"/>
      <x:c r="H479" s="7"/>
      <x:c r="I479" s="7"/>
      <x:c r="J479" s="9"/>
      <x:c r="K479" s="10"/>
      <x:c r="L479" s="7"/>
      <x:c r="M479" s="8"/>
      <x:c r="N479" s="17"/>
      <x:c r="O479" s="17"/>
    </x:row>
    <x:row r="480" ht="15" hidden="0" customHeight="1">
      <x:c r="A480" s="7"/>
      <x:c r="B480" s="7"/>
      <x:c r="C480" s="7"/>
      <x:c r="D480" s="8"/>
      <x:c r="E480" s="7"/>
      <x:c r="F480" s="7"/>
      <x:c r="G480" s="7"/>
      <x:c r="H480" s="7"/>
      <x:c r="I480" s="7"/>
      <x:c r="J480" s="9"/>
      <x:c r="K480" s="10"/>
      <x:c r="L480" s="7"/>
      <x:c r="M480" s="8"/>
      <x:c r="N480" s="17"/>
      <x:c r="O480" s="17"/>
    </x:row>
    <x:row r="481" ht="15" hidden="0" customHeight="1">
      <x:c r="A481" s="7"/>
      <x:c r="B481" s="7"/>
      <x:c r="C481" s="7"/>
      <x:c r="D481" s="8"/>
      <x:c r="E481" s="7"/>
      <x:c r="F481" s="7"/>
      <x:c r="G481" s="7"/>
      <x:c r="H481" s="7"/>
      <x:c r="I481" s="7"/>
      <x:c r="J481" s="9"/>
      <x:c r="K481" s="10"/>
      <x:c r="L481" s="7"/>
      <x:c r="M481" s="8"/>
      <x:c r="N481" s="17"/>
      <x:c r="O481" s="17"/>
    </x:row>
    <x:row r="482" ht="15" hidden="0" customHeight="1">
      <x:c r="A482" s="7"/>
      <x:c r="B482" s="7"/>
      <x:c r="C482" s="7"/>
      <x:c r="D482" s="8"/>
      <x:c r="E482" s="7"/>
      <x:c r="F482" s="7"/>
      <x:c r="G482" s="7"/>
      <x:c r="H482" s="7"/>
      <x:c r="I482" s="7"/>
      <x:c r="J482" s="9"/>
      <x:c r="K482" s="10"/>
      <x:c r="L482" s="7"/>
      <x:c r="M482" s="8"/>
      <x:c r="N482" s="17"/>
      <x:c r="O482" s="17"/>
    </x:row>
    <x:row r="483" ht="15" hidden="0" customHeight="1">
      <x:c r="A483" s="7"/>
      <x:c r="B483" s="7"/>
      <x:c r="C483" s="7"/>
      <x:c r="D483" s="8"/>
      <x:c r="E483" s="7"/>
      <x:c r="F483" s="7"/>
      <x:c r="G483" s="7"/>
      <x:c r="H483" s="7"/>
      <x:c r="I483" s="7"/>
      <x:c r="J483" s="9"/>
      <x:c r="K483" s="10"/>
      <x:c r="L483" s="7"/>
      <x:c r="M483" s="8"/>
      <x:c r="N483" s="17"/>
      <x:c r="O483" s="17"/>
    </x:row>
    <x:row r="484" ht="15" hidden="0" customHeight="1">
      <x:c r="A484" s="7"/>
      <x:c r="B484" s="7"/>
      <x:c r="C484" s="7"/>
      <x:c r="D484" s="8"/>
      <x:c r="E484" s="7"/>
      <x:c r="F484" s="7"/>
      <x:c r="G484" s="7"/>
      <x:c r="H484" s="7"/>
      <x:c r="I484" s="7"/>
      <x:c r="J484" s="9"/>
      <x:c r="K484" s="10"/>
      <x:c r="L484" s="7"/>
      <x:c r="M484" s="8"/>
      <x:c r="N484" s="17"/>
      <x:c r="O484" s="17"/>
    </x:row>
    <x:row r="485" ht="15" hidden="0" customHeight="1">
      <x:c r="A485" s="7"/>
      <x:c r="B485" s="7"/>
      <x:c r="C485" s="7"/>
      <x:c r="D485" s="8"/>
      <x:c r="E485" s="7"/>
      <x:c r="F485" s="7"/>
      <x:c r="G485" s="7"/>
      <x:c r="H485" s="7"/>
      <x:c r="I485" s="7"/>
      <x:c r="J485" s="9"/>
      <x:c r="K485" s="10"/>
      <x:c r="L485" s="7"/>
      <x:c r="M485" s="8"/>
      <x:c r="N485" s="17"/>
      <x:c r="O485" s="17"/>
    </x:row>
    <x:row r="486" ht="15" hidden="0" customHeight="1">
      <x:c r="A486" s="7"/>
      <x:c r="B486" s="7"/>
      <x:c r="C486" s="7"/>
      <x:c r="D486" s="8"/>
      <x:c r="E486" s="7"/>
      <x:c r="F486" s="7"/>
      <x:c r="G486" s="7"/>
      <x:c r="H486" s="7"/>
      <x:c r="I486" s="7"/>
      <x:c r="J486" s="9"/>
      <x:c r="K486" s="10"/>
      <x:c r="L486" s="7"/>
      <x:c r="M486" s="8"/>
      <x:c r="N486" s="17"/>
      <x:c r="O486" s="17"/>
    </x:row>
    <x:row r="487" ht="15" hidden="0" customHeight="1">
      <x:c r="A487" s="7"/>
      <x:c r="B487" s="7"/>
      <x:c r="C487" s="7"/>
      <x:c r="D487" s="8"/>
      <x:c r="E487" s="7"/>
      <x:c r="F487" s="7"/>
      <x:c r="G487" s="7"/>
      <x:c r="H487" s="7"/>
      <x:c r="I487" s="7"/>
      <x:c r="J487" s="9"/>
      <x:c r="K487" s="10"/>
      <x:c r="L487" s="7"/>
      <x:c r="M487" s="8"/>
      <x:c r="N487" s="17"/>
      <x:c r="O487" s="17"/>
    </x:row>
    <x:row r="488" ht="15" hidden="0" customHeight="1">
      <x:c r="A488" s="7"/>
      <x:c r="B488" s="7"/>
      <x:c r="C488" s="7"/>
      <x:c r="D488" s="8"/>
      <x:c r="E488" s="7"/>
      <x:c r="F488" s="7"/>
      <x:c r="G488" s="7"/>
      <x:c r="H488" s="7"/>
      <x:c r="I488" s="7"/>
      <x:c r="J488" s="9"/>
      <x:c r="K488" s="10"/>
      <x:c r="L488" s="7"/>
      <x:c r="M488" s="8"/>
      <x:c r="N488" s="17"/>
      <x:c r="O488" s="17"/>
    </x:row>
    <x:row r="489" ht="15" hidden="0" customHeight="1">
      <x:c r="A489" s="7"/>
      <x:c r="B489" s="7"/>
      <x:c r="C489" s="7"/>
      <x:c r="D489" s="8"/>
      <x:c r="E489" s="7"/>
      <x:c r="F489" s="7"/>
      <x:c r="G489" s="7"/>
      <x:c r="H489" s="7"/>
      <x:c r="I489" s="7"/>
      <x:c r="J489" s="9"/>
      <x:c r="K489" s="10"/>
      <x:c r="L489" s="7"/>
      <x:c r="M489" s="8"/>
      <x:c r="N489" s="17"/>
      <x:c r="O489" s="17"/>
    </x:row>
    <x:row r="490" ht="15" hidden="0" customHeight="1">
      <x:c r="A490" s="7"/>
      <x:c r="B490" s="7"/>
      <x:c r="C490" s="7"/>
      <x:c r="D490" s="8"/>
      <x:c r="E490" s="7"/>
      <x:c r="F490" s="7"/>
      <x:c r="G490" s="7"/>
      <x:c r="H490" s="7"/>
      <x:c r="I490" s="7"/>
      <x:c r="J490" s="9"/>
      <x:c r="K490" s="10"/>
      <x:c r="L490" s="7"/>
      <x:c r="M490" s="8"/>
      <x:c r="N490" s="17"/>
      <x:c r="O490" s="17"/>
    </x:row>
    <x:row r="491" ht="15" hidden="0" customHeight="1">
      <x:c r="A491" s="7"/>
      <x:c r="B491" s="7"/>
      <x:c r="C491" s="7"/>
      <x:c r="D491" s="8"/>
      <x:c r="E491" s="7"/>
      <x:c r="F491" s="7"/>
      <x:c r="G491" s="7"/>
      <x:c r="H491" s="7"/>
      <x:c r="I491" s="7"/>
      <x:c r="J491" s="9"/>
      <x:c r="K491" s="10"/>
      <x:c r="L491" s="7"/>
      <x:c r="M491" s="8"/>
      <x:c r="N491" s="17"/>
      <x:c r="O491" s="17"/>
    </x:row>
    <x:row r="492" ht="15" hidden="0" customHeight="1">
      <x:c r="A492" s="7"/>
      <x:c r="B492" s="7"/>
      <x:c r="C492" s="7"/>
      <x:c r="D492" s="8"/>
      <x:c r="E492" s="7"/>
      <x:c r="F492" s="7"/>
      <x:c r="G492" s="7"/>
      <x:c r="H492" s="7"/>
      <x:c r="I492" s="7"/>
      <x:c r="J492" s="9"/>
      <x:c r="K492" s="10"/>
      <x:c r="L492" s="7"/>
      <x:c r="M492" s="8"/>
      <x:c r="N492" s="17"/>
      <x:c r="O492" s="17"/>
    </x:row>
    <x:row r="493" ht="15" hidden="0" customHeight="1">
      <x:c r="A493" s="7"/>
      <x:c r="B493" s="7"/>
      <x:c r="C493" s="7"/>
      <x:c r="D493" s="8"/>
      <x:c r="E493" s="7"/>
      <x:c r="F493" s="7"/>
      <x:c r="G493" s="7"/>
      <x:c r="H493" s="7"/>
      <x:c r="I493" s="7"/>
      <x:c r="J493" s="9"/>
      <x:c r="K493" s="10"/>
      <x:c r="L493" s="7"/>
      <x:c r="M493" s="8"/>
      <x:c r="N493" s="17"/>
      <x:c r="O493" s="17"/>
    </x:row>
    <x:row r="494" ht="15" hidden="0" customHeight="1">
      <x:c r="A494" s="7"/>
      <x:c r="B494" s="7"/>
      <x:c r="C494" s="7"/>
      <x:c r="D494" s="8"/>
      <x:c r="E494" s="7"/>
      <x:c r="F494" s="7"/>
      <x:c r="G494" s="7"/>
      <x:c r="H494" s="7"/>
      <x:c r="I494" s="7"/>
      <x:c r="J494" s="9"/>
      <x:c r="K494" s="10"/>
      <x:c r="L494" s="7"/>
      <x:c r="M494" s="8"/>
      <x:c r="N494" s="17"/>
      <x:c r="O494" s="17"/>
    </x:row>
    <x:row r="495" ht="15" hidden="0" customHeight="1">
      <x:c r="A495" s="7"/>
      <x:c r="B495" s="7"/>
      <x:c r="C495" s="7"/>
      <x:c r="D495" s="8"/>
      <x:c r="E495" s="7"/>
      <x:c r="F495" s="7"/>
      <x:c r="G495" s="7"/>
      <x:c r="H495" s="7"/>
      <x:c r="I495" s="7"/>
      <x:c r="J495" s="9"/>
      <x:c r="K495" s="10"/>
      <x:c r="L495" s="7"/>
      <x:c r="M495" s="8"/>
      <x:c r="N495" s="17"/>
      <x:c r="O495" s="17"/>
    </x:row>
    <x:row r="496" ht="15" hidden="0" customHeight="1">
      <x:c r="A496" s="7"/>
      <x:c r="B496" s="7"/>
      <x:c r="C496" s="7"/>
      <x:c r="D496" s="8"/>
      <x:c r="E496" s="7"/>
      <x:c r="F496" s="7"/>
      <x:c r="G496" s="7"/>
      <x:c r="H496" s="7"/>
      <x:c r="I496" s="7"/>
      <x:c r="J496" s="9"/>
      <x:c r="K496" s="10"/>
      <x:c r="L496" s="7"/>
      <x:c r="M496" s="8"/>
      <x:c r="N496" s="17"/>
      <x:c r="O496" s="17"/>
    </x:row>
    <x:row r="497" ht="15" hidden="0" customHeight="1">
      <x:c r="A497" s="7"/>
      <x:c r="B497" s="7"/>
      <x:c r="C497" s="7"/>
      <x:c r="D497" s="8"/>
      <x:c r="E497" s="7"/>
      <x:c r="F497" s="7"/>
      <x:c r="G497" s="7"/>
      <x:c r="H497" s="7"/>
      <x:c r="I497" s="7"/>
      <x:c r="J497" s="9"/>
      <x:c r="K497" s="10"/>
      <x:c r="L497" s="7"/>
      <x:c r="M497" s="8"/>
      <x:c r="N497" s="17"/>
      <x:c r="O497" s="17"/>
    </x:row>
    <x:row r="498" ht="15" hidden="0" customHeight="1">
      <x:c r="A498" s="7"/>
      <x:c r="B498" s="7"/>
      <x:c r="C498" s="7"/>
      <x:c r="D498" s="8"/>
      <x:c r="E498" s="7"/>
      <x:c r="F498" s="7"/>
      <x:c r="G498" s="7"/>
      <x:c r="H498" s="7"/>
      <x:c r="I498" s="7"/>
      <x:c r="J498" s="9"/>
      <x:c r="K498" s="10"/>
      <x:c r="L498" s="7"/>
      <x:c r="M498" s="8"/>
      <x:c r="N498" s="17"/>
      <x:c r="O498" s="17"/>
    </x:row>
    <x:row r="499" ht="15" hidden="0" customHeight="1">
      <x:c r="A499" s="7"/>
      <x:c r="B499" s="7"/>
      <x:c r="C499" s="7"/>
      <x:c r="D499" s="8"/>
      <x:c r="E499" s="7"/>
      <x:c r="F499" s="7"/>
      <x:c r="G499" s="7"/>
      <x:c r="H499" s="7"/>
      <x:c r="I499" s="7"/>
      <x:c r="J499" s="9"/>
      <x:c r="K499" s="10"/>
      <x:c r="L499" s="7"/>
      <x:c r="M499" s="8"/>
      <x:c r="N499" s="17"/>
      <x:c r="O499" s="17"/>
    </x:row>
    <x:row r="500" ht="15" hidden="0" customHeight="1">
      <x:c r="A500" s="7"/>
      <x:c r="B500" s="7"/>
      <x:c r="C500" s="7"/>
      <x:c r="D500" s="8"/>
      <x:c r="E500" s="7"/>
      <x:c r="F500" s="7"/>
      <x:c r="G500" s="7"/>
      <x:c r="H500" s="7"/>
      <x:c r="I500" s="7"/>
      <x:c r="J500" s="9"/>
      <x:c r="K500" s="10"/>
      <x:c r="L500" s="7"/>
      <x:c r="M500" s="8"/>
      <x:c r="N500" s="17"/>
      <x:c r="O500" s="17"/>
    </x:row>
    <x:row r="501" ht="15" hidden="0" customHeight="1">
      <x:c r="A501" s="7"/>
      <x:c r="B501" s="7"/>
      <x:c r="C501" s="7"/>
      <x:c r="D501" s="8"/>
      <x:c r="E501" s="7"/>
      <x:c r="F501" s="7"/>
      <x:c r="G501" s="7"/>
      <x:c r="H501" s="7"/>
      <x:c r="I501" s="7"/>
      <x:c r="J501" s="9"/>
      <x:c r="K501" s="10"/>
      <x:c r="L501" s="7"/>
      <x:c r="M501" s="8"/>
      <x:c r="N501" s="17"/>
      <x:c r="O501" s="17"/>
    </x:row>
    <x:row r="502" ht="15" hidden="0" customHeight="1">
      <x:c r="A502" s="7"/>
      <x:c r="B502" s="7"/>
      <x:c r="C502" s="7"/>
      <x:c r="D502" s="8"/>
      <x:c r="E502" s="7"/>
      <x:c r="F502" s="7"/>
      <x:c r="G502" s="7"/>
      <x:c r="H502" s="7"/>
      <x:c r="I502" s="7"/>
      <x:c r="J502" s="9"/>
      <x:c r="K502" s="10"/>
      <x:c r="L502" s="7"/>
      <x:c r="M502" s="8"/>
      <x:c r="N502" s="17"/>
      <x:c r="O502" s="17"/>
    </x:row>
    <x:row r="503" ht="15" hidden="0" customHeight="1">
      <x:c r="A503" s="7"/>
      <x:c r="B503" s="7"/>
      <x:c r="C503" s="7"/>
      <x:c r="D503" s="8"/>
      <x:c r="E503" s="7"/>
      <x:c r="F503" s="7"/>
      <x:c r="G503" s="7"/>
      <x:c r="H503" s="7"/>
      <x:c r="I503" s="7"/>
      <x:c r="J503" s="9"/>
      <x:c r="K503" s="10"/>
      <x:c r="L503" s="7"/>
      <x:c r="M503" s="8"/>
      <x:c r="N503" s="17"/>
      <x:c r="O503" s="17"/>
    </x:row>
    <x:row r="504" ht="15" hidden="0" customHeight="1">
      <x:c r="A504" s="7"/>
      <x:c r="B504" s="7"/>
      <x:c r="C504" s="7"/>
      <x:c r="D504" s="8"/>
      <x:c r="E504" s="7"/>
      <x:c r="F504" s="7"/>
      <x:c r="G504" s="7"/>
      <x:c r="H504" s="7"/>
      <x:c r="I504" s="7"/>
      <x:c r="J504" s="9"/>
      <x:c r="K504" s="10"/>
      <x:c r="L504" s="7"/>
      <x:c r="M504" s="8"/>
      <x:c r="N504" s="17"/>
      <x:c r="O504" s="17"/>
    </x:row>
    <x:row r="505" ht="15" hidden="0" customHeight="1">
      <x:c r="A505" s="7"/>
      <x:c r="B505" s="7"/>
      <x:c r="C505" s="7"/>
      <x:c r="D505" s="8"/>
      <x:c r="E505" s="7"/>
      <x:c r="F505" s="7"/>
      <x:c r="G505" s="7"/>
      <x:c r="H505" s="7"/>
      <x:c r="I505" s="7"/>
      <x:c r="J505" s="9"/>
      <x:c r="K505" s="10"/>
      <x:c r="L505" s="7"/>
      <x:c r="M505" s="8"/>
      <x:c r="N505" s="17"/>
      <x:c r="O505" s="17"/>
    </x:row>
    <x:row r="506" ht="15" hidden="0" customHeight="1">
      <x:c r="A506" s="7"/>
      <x:c r="B506" s="7"/>
      <x:c r="C506" s="7"/>
      <x:c r="D506" s="8"/>
      <x:c r="E506" s="7"/>
      <x:c r="F506" s="7"/>
      <x:c r="G506" s="7"/>
      <x:c r="H506" s="7"/>
      <x:c r="I506" s="7"/>
      <x:c r="J506" s="9"/>
      <x:c r="K506" s="10"/>
      <x:c r="L506" s="7"/>
      <x:c r="M506" s="8"/>
      <x:c r="N506" s="17"/>
      <x:c r="O506" s="17"/>
    </x:row>
    <x:row r="507" ht="15" hidden="0" customHeight="1">
      <x:c r="A507" s="7"/>
      <x:c r="B507" s="7"/>
      <x:c r="C507" s="7"/>
      <x:c r="D507" s="8"/>
      <x:c r="E507" s="7"/>
      <x:c r="F507" s="7"/>
      <x:c r="G507" s="7"/>
      <x:c r="H507" s="7"/>
      <x:c r="I507" s="7"/>
      <x:c r="J507" s="9"/>
      <x:c r="K507" s="10"/>
      <x:c r="L507" s="7"/>
      <x:c r="M507" s="8"/>
      <x:c r="N507" s="17"/>
      <x:c r="O507" s="17"/>
    </x:row>
    <x:row r="508" ht="15" hidden="0" customHeight="1">
      <x:c r="A508" s="7"/>
      <x:c r="B508" s="7"/>
      <x:c r="C508" s="7"/>
      <x:c r="D508" s="8"/>
      <x:c r="E508" s="7"/>
      <x:c r="F508" s="7"/>
      <x:c r="G508" s="7"/>
      <x:c r="H508" s="7"/>
      <x:c r="I508" s="7"/>
      <x:c r="J508" s="9"/>
      <x:c r="K508" s="10"/>
      <x:c r="L508" s="7"/>
      <x:c r="M508" s="8"/>
      <x:c r="N508" s="17"/>
      <x:c r="O508" s="17"/>
    </x:row>
    <x:row r="509" ht="15" hidden="0" customHeight="1">
      <x:c r="A509" s="7"/>
      <x:c r="B509" s="7"/>
      <x:c r="C509" s="7"/>
      <x:c r="D509" s="8"/>
      <x:c r="E509" s="7"/>
      <x:c r="F509" s="7"/>
      <x:c r="G509" s="7"/>
      <x:c r="H509" s="7"/>
      <x:c r="I509" s="7"/>
      <x:c r="J509" s="9"/>
      <x:c r="K509" s="10"/>
      <x:c r="L509" s="7"/>
      <x:c r="M509" s="8"/>
      <x:c r="N509" s="17"/>
      <x:c r="O509" s="17"/>
    </x:row>
    <x:row r="510" ht="15" hidden="0" customHeight="1">
      <x:c r="A510" s="7"/>
      <x:c r="B510" s="7"/>
      <x:c r="C510" s="7"/>
      <x:c r="D510" s="8"/>
      <x:c r="E510" s="7"/>
      <x:c r="F510" s="7"/>
      <x:c r="G510" s="7"/>
      <x:c r="H510" s="7"/>
      <x:c r="I510" s="7"/>
      <x:c r="J510" s="9"/>
      <x:c r="K510" s="10"/>
      <x:c r="L510" s="7"/>
      <x:c r="M510" s="8"/>
      <x:c r="N510" s="17"/>
      <x:c r="O510" s="17"/>
    </x:row>
    <x:row r="511" ht="15" hidden="0" customHeight="1">
      <x:c r="A511" s="7"/>
      <x:c r="B511" s="7"/>
      <x:c r="C511" s="7"/>
      <x:c r="D511" s="8"/>
      <x:c r="E511" s="7"/>
      <x:c r="F511" s="7"/>
      <x:c r="G511" s="7"/>
      <x:c r="H511" s="7"/>
      <x:c r="I511" s="7"/>
      <x:c r="J511" s="9"/>
      <x:c r="K511" s="10"/>
      <x:c r="L511" s="7"/>
      <x:c r="M511" s="8"/>
      <x:c r="N511" s="17"/>
      <x:c r="O511" s="17"/>
    </x:row>
    <x:row r="512" ht="15" hidden="0" customHeight="1">
      <x:c r="A512" s="7"/>
      <x:c r="B512" s="7"/>
      <x:c r="C512" s="7"/>
      <x:c r="D512" s="8"/>
      <x:c r="E512" s="7"/>
      <x:c r="F512" s="7"/>
      <x:c r="G512" s="7"/>
      <x:c r="H512" s="7"/>
      <x:c r="I512" s="7"/>
      <x:c r="J512" s="9"/>
      <x:c r="K512" s="10"/>
      <x:c r="L512" s="7"/>
      <x:c r="M512" s="8"/>
      <x:c r="N512" s="17"/>
      <x:c r="O512" s="17"/>
    </x:row>
    <x:row r="513" ht="15" hidden="0" customHeight="1">
      <x:c r="A513" s="7"/>
      <x:c r="B513" s="7"/>
      <x:c r="C513" s="7"/>
      <x:c r="D513" s="8"/>
      <x:c r="E513" s="7"/>
      <x:c r="F513" s="7"/>
      <x:c r="G513" s="7"/>
      <x:c r="H513" s="7"/>
      <x:c r="I513" s="7"/>
      <x:c r="J513" s="9"/>
      <x:c r="K513" s="10"/>
      <x:c r="L513" s="7"/>
      <x:c r="M513" s="8"/>
      <x:c r="N513" s="17"/>
      <x:c r="O513" s="17"/>
    </x:row>
    <x:row r="514" ht="15" hidden="0" customHeight="1">
      <x:c r="A514" s="7"/>
      <x:c r="B514" s="7"/>
      <x:c r="C514" s="7"/>
      <x:c r="D514" s="8"/>
      <x:c r="E514" s="7"/>
      <x:c r="F514" s="7"/>
      <x:c r="G514" s="7"/>
      <x:c r="H514" s="7"/>
      <x:c r="I514" s="7"/>
      <x:c r="J514" s="9"/>
      <x:c r="K514" s="10"/>
      <x:c r="L514" s="7"/>
      <x:c r="M514" s="8"/>
      <x:c r="N514" s="17"/>
      <x:c r="O514" s="17"/>
    </x:row>
    <x:row r="515" ht="15" hidden="0" customHeight="1">
      <x:c r="A515" s="7"/>
      <x:c r="B515" s="7"/>
      <x:c r="C515" s="7"/>
      <x:c r="D515" s="8"/>
      <x:c r="E515" s="7"/>
      <x:c r="F515" s="7"/>
      <x:c r="G515" s="7"/>
      <x:c r="H515" s="7"/>
      <x:c r="I515" s="7"/>
      <x:c r="J515" s="9"/>
      <x:c r="K515" s="10"/>
      <x:c r="L515" s="7"/>
      <x:c r="M515" s="8"/>
      <x:c r="N515" s="17"/>
      <x:c r="O515" s="17"/>
    </x:row>
    <x:row r="516" ht="15" hidden="0" customHeight="1">
      <x:c r="A516" s="7"/>
      <x:c r="B516" s="7"/>
      <x:c r="C516" s="7"/>
      <x:c r="D516" s="8"/>
      <x:c r="E516" s="7"/>
      <x:c r="F516" s="7"/>
      <x:c r="G516" s="7"/>
      <x:c r="H516" s="7"/>
      <x:c r="I516" s="7"/>
      <x:c r="J516" s="9"/>
      <x:c r="K516" s="10"/>
      <x:c r="L516" s="7"/>
      <x:c r="M516" s="8"/>
      <x:c r="N516" s="17"/>
      <x:c r="O516" s="17"/>
    </x:row>
    <x:row r="517" ht="15" hidden="0" customHeight="1">
      <x:c r="A517" s="7"/>
      <x:c r="B517" s="7"/>
      <x:c r="C517" s="7"/>
      <x:c r="D517" s="8"/>
      <x:c r="E517" s="7"/>
      <x:c r="F517" s="7"/>
      <x:c r="G517" s="7"/>
      <x:c r="H517" s="7"/>
      <x:c r="I517" s="7"/>
      <x:c r="J517" s="9"/>
      <x:c r="K517" s="10"/>
      <x:c r="L517" s="7"/>
      <x:c r="M517" s="8"/>
      <x:c r="N517" s="17"/>
      <x:c r="O517" s="17"/>
    </x:row>
  </x:sheetData>
  <x:mergeCells>
    <x:mergeCell ref="A2:M2"/>
  </x:mergeCells>
  <x:conditionalFormatting sqref="J5:J516">
    <x:cfRule type="containsText" dxfId="9" priority="1" operator="containsText" text="RESUELTO"/>
    <x:cfRule type="containsText" dxfId="10" priority="2" operator="containsText" text="EN PROCESO"/>
    <x:cfRule type="containsText" dxfId="11" priority="3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70" hidden="0" customWidth="1"/>
  </x:cols>
  <x:sheetData>
    <x:row r="2" ht="15" hidden="0" customHeight="1">
      <x:c r="A2" s="2" t="str">
        <x:v>CALENDARIO DE ENTREGAS - AVANCES CADA DIA 15</x:v>
      </x:c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6" t="str">
        <x:v>Fecha</x:v>
      </x:c>
      <x:c r="B4" s="6" t="str">
        <x:v>Total</x:v>
      </x:c>
      <x:c r="C4" s="6" t="str">
        <x:v>Critical</x:v>
      </x:c>
      <x:c r="D4" s="6" t="str">
        <x:v>High</x:v>
      </x:c>
      <x:c r="E4" s="6" t="str">
        <x:v>Medium</x:v>
      </x:c>
      <x:c r="F4" s="6" t="str">
        <x:v>Resuelto</x:v>
      </x:c>
      <x:c r="G4" s="6" t="str">
        <x:v>En proceso</x:v>
      </x:c>
      <x:c r="H4" s="6" t="str">
        <x:v>Pendiente</x:v>
      </x:c>
      <x:c r="I4" s="6" t="str">
        <x:v>Objetivo</x:v>
      </x:c>
    </x:row>
    <x:row r="5" ht="15" hidden="0" customHeight="1">
      <x:c r="A5" s="10" t="n">
        <x:v>46254</x:v>
      </x:c>
      <x:c r="B5" s="16" t="n">
        <x:f>COUNTIF('COMPENDIO'!K5:K516,A5)</x:f>
        <x:v>12</x:v>
      </x:c>
      <x:c r="C5" s="16" t="n">
        <x:f>COUNTIFS('COMPENDIO'!K5:K516,A5,'COMPENDIO'!C5:C516,"CRITICAL")</x:f>
        <x:v>0</x:v>
      </x:c>
      <x:c r="D5" s="16" t="n">
        <x:f>COUNTIFS('COMPENDIO'!K5:K516,A5,'COMPENDIO'!C5:C516,"HIGH")</x:f>
        <x:v>9</x:v>
      </x:c>
      <x:c r="E5" s="16" t="n">
        <x:f>COUNTIFS('COMPENDIO'!K5:K516,A5,'COMPENDIO'!C5:C516,"MEDIUM")</x:f>
        <x:v>3</x:v>
      </x:c>
      <x:c r="F5" s="16" t="n">
        <x:f>COUNTIFS('COMPENDIO'!K5:K516,A5,'COMPENDIO'!J5:J516,"RESUELTO")</x:f>
        <x:v>0</x:v>
      </x:c>
      <x:c r="G5" s="16" t="n">
        <x:f>COUNTIFS('COMPENDIO'!K5:K516,A5,'COMPENDIO'!J5:J516,"EN PROCESO")</x:f>
        <x:v>12</x:v>
      </x:c>
      <x:c r="H5" s="16" t="n">
        <x:f>COUNTIFS('COMPENDIO'!K5:K516,A5,'COMPENDIO'!J5:J516,"PENDIENTE")</x:f>
        <x:v>0</x:v>
      </x:c>
      <x:c r="I5" s="8" t="str">
        <x:v>Primer avance: secretos/configuración, xlsx, HSTS, Open Redirect y rutas de archivo.</x:v>
      </x:c>
    </x:row>
    <x:row r="6" ht="15" hidden="0" customHeight="1">
      <x:c r="A6" s="10" t="n">
        <x:v>46280</x:v>
      </x:c>
      <x:c r="B6" s="16" t="n">
        <x:f>COUNTIF('COMPENDIO'!K5:K516,A6)</x:f>
        <x:v>18</x:v>
      </x:c>
      <x:c r="C6" s="16" t="n">
        <x:f>COUNTIFS('COMPENDIO'!K5:K516,A6,'COMPENDIO'!C5:C516,"CRITICAL")</x:f>
        <x:v>18</x:v>
      </x:c>
      <x:c r="D6" s="16" t="n">
        <x:f>COUNTIFS('COMPENDIO'!K5:K516,A6,'COMPENDIO'!C5:C516,"HIGH")</x:f>
        <x:v>0</x:v>
      </x:c>
      <x:c r="E6" s="16" t="n">
        <x:f>COUNTIFS('COMPENDIO'!K5:K516,A6,'COMPENDIO'!C5:C516,"MEDIUM")</x:f>
        <x:v>0</x:v>
      </x:c>
      <x:c r="F6" s="16" t="n">
        <x:f>COUNTIFS('COMPENDIO'!K5:K516,A6,'COMPENDIO'!J5:J516,"RESUELTO")</x:f>
        <x:v>0</x:v>
      </x:c>
      <x:c r="G6" s="16" t="n">
        <x:f>COUNTIFS('COMPENDIO'!K5:K516,A6,'COMPENDIO'!J5:J516,"EN PROCESO")</x:f>
        <x:v>0</x:v>
      </x:c>
      <x:c r="H6" s="16" t="n">
        <x:f>COUNTIFS('COMPENDIO'!K5:K516,A6,'COMPENDIO'!J5:J516,"PENDIENTE")</x:f>
        <x:v>18</x:v>
      </x:c>
      <x:c r="I6" s="8" t="str">
        <x:v>Avance mensual conforme a priorización.</x:v>
      </x:c>
    </x:row>
    <x:row r="7" ht="15" hidden="0" customHeight="1">
      <x:c r="A7" s="10" t="n">
        <x:v>46310</x:v>
      </x:c>
      <x:c r="B7" s="16" t="n">
        <x:f>COUNTIF('COMPENDIO'!K5:K516,A7)</x:f>
        <x:v>18</x:v>
      </x:c>
      <x:c r="C7" s="16" t="n">
        <x:f>COUNTIFS('COMPENDIO'!K5:K516,A7,'COMPENDIO'!C5:C516,"CRITICAL")</x:f>
        <x:v>18</x:v>
      </x:c>
      <x:c r="D7" s="16" t="n">
        <x:f>COUNTIFS('COMPENDIO'!K5:K516,A7,'COMPENDIO'!C5:C516,"HIGH")</x:f>
        <x:v>0</x:v>
      </x:c>
      <x:c r="E7" s="16" t="n">
        <x:f>COUNTIFS('COMPENDIO'!K5:K516,A7,'COMPENDIO'!C5:C516,"MEDIUM")</x:f>
        <x:v>0</x:v>
      </x:c>
      <x:c r="F7" s="16" t="n">
        <x:f>COUNTIFS('COMPENDIO'!K5:K516,A7,'COMPENDIO'!J5:J516,"RESUELTO")</x:f>
        <x:v>0</x:v>
      </x:c>
      <x:c r="G7" s="16" t="n">
        <x:f>COUNTIFS('COMPENDIO'!K5:K516,A7,'COMPENDIO'!J5:J516,"EN PROCESO")</x:f>
        <x:v>0</x:v>
      </x:c>
      <x:c r="H7" s="16" t="n">
        <x:f>COUNTIFS('COMPENDIO'!K5:K516,A7,'COMPENDIO'!J5:J516,"PENDIENTE")</x:f>
        <x:v>18</x:v>
      </x:c>
      <x:c r="I7" s="8" t="str">
        <x:v>Avance mensual conforme a priorización.</x:v>
      </x:c>
    </x:row>
    <x:row r="8" ht="15" hidden="0" customHeight="1">
      <x:c r="A8" s="10" t="n">
        <x:v>46341</x:v>
      </x:c>
      <x:c r="B8" s="16" t="n">
        <x:f>COUNTIF('COMPENDIO'!K5:K516,A8)</x:f>
        <x:v>18</x:v>
      </x:c>
      <x:c r="C8" s="16" t="n">
        <x:f>COUNTIFS('COMPENDIO'!K5:K516,A8,'COMPENDIO'!C5:C516,"CRITICAL")</x:f>
        <x:v>3</x:v>
      </x:c>
      <x:c r="D8" s="16" t="n">
        <x:f>COUNTIFS('COMPENDIO'!K5:K516,A8,'COMPENDIO'!C5:C516,"HIGH")</x:f>
        <x:v>15</x:v>
      </x:c>
      <x:c r="E8" s="16" t="n">
        <x:f>COUNTIFS('COMPENDIO'!K5:K516,A8,'COMPENDIO'!C5:C516,"MEDIUM")</x:f>
        <x:v>0</x:v>
      </x:c>
      <x:c r="F8" s="16" t="n">
        <x:f>COUNTIFS('COMPENDIO'!K5:K516,A8,'COMPENDIO'!J5:J516,"RESUELTO")</x:f>
        <x:v>0</x:v>
      </x:c>
      <x:c r="G8" s="16" t="n">
        <x:f>COUNTIFS('COMPENDIO'!K5:K516,A8,'COMPENDIO'!J5:J516,"EN PROCESO")</x:f>
        <x:v>0</x:v>
      </x:c>
      <x:c r="H8" s="16" t="n">
        <x:f>COUNTIFS('COMPENDIO'!K5:K516,A8,'COMPENDIO'!J5:J516,"PENDIENTE")</x:f>
        <x:v>18</x:v>
      </x:c>
      <x:c r="I8" s="8" t="str">
        <x:v>Avance mensual conforme a priorización.</x:v>
      </x:c>
    </x:row>
    <x:row r="9" ht="15" hidden="0" customHeight="1">
      <x:c r="A9" s="10" t="n">
        <x:v>46371</x:v>
      </x:c>
      <x:c r="B9" s="16" t="n">
        <x:f>COUNTIF('COMPENDIO'!K5:K516,A9)</x:f>
        <x:v>18</x:v>
      </x:c>
      <x:c r="C9" s="16" t="n">
        <x:f>COUNTIFS('COMPENDIO'!K5:K516,A9,'COMPENDIO'!C5:C516,"CRITICAL")</x:f>
        <x:v>0</x:v>
      </x:c>
      <x:c r="D9" s="16" t="n">
        <x:f>COUNTIFS('COMPENDIO'!K5:K516,A9,'COMPENDIO'!C5:C516,"HIGH")</x:f>
        <x:v>18</x:v>
      </x:c>
      <x:c r="E9" s="16" t="n">
        <x:f>COUNTIFS('COMPENDIO'!K5:K516,A9,'COMPENDIO'!C5:C516,"MEDIUM")</x:f>
        <x:v>0</x:v>
      </x:c>
      <x:c r="F9" s="16" t="n">
        <x:f>COUNTIFS('COMPENDIO'!K5:K516,A9,'COMPENDIO'!J5:J516,"RESUELTO")</x:f>
        <x:v>0</x:v>
      </x:c>
      <x:c r="G9" s="16" t="n">
        <x:f>COUNTIFS('COMPENDIO'!K5:K516,A9,'COMPENDIO'!J5:J516,"EN PROCESO")</x:f>
        <x:v>0</x:v>
      </x:c>
      <x:c r="H9" s="16" t="n">
        <x:f>COUNTIFS('COMPENDIO'!K5:K516,A9,'COMPENDIO'!J5:J516,"PENDIENTE")</x:f>
        <x:v>18</x:v>
      </x:c>
      <x:c r="I9" s="8" t="str">
        <x:v>Avance mensual conforme a priorización.</x:v>
      </x:c>
    </x:row>
    <x:row r="10" ht="15" hidden="0" customHeight="1">
      <x:c r="A10" s="10" t="n">
        <x:v>46402</x:v>
      </x:c>
      <x:c r="B10" s="16" t="n">
        <x:f>COUNTIF('COMPENDIO'!K5:K516,A10)</x:f>
        <x:v>18</x:v>
      </x:c>
      <x:c r="C10" s="16" t="n">
        <x:f>COUNTIFS('COMPENDIO'!K5:K516,A10,'COMPENDIO'!C5:C516,"CRITICAL")</x:f>
        <x:v>0</x:v>
      </x:c>
      <x:c r="D10" s="16" t="n">
        <x:f>COUNTIFS('COMPENDIO'!K5:K516,A10,'COMPENDIO'!C5:C516,"HIGH")</x:f>
        <x:v>18</x:v>
      </x:c>
      <x:c r="E10" s="16" t="n">
        <x:f>COUNTIFS('COMPENDIO'!K5:K516,A10,'COMPENDIO'!C5:C516,"MEDIUM")</x:f>
        <x:v>0</x:v>
      </x:c>
      <x:c r="F10" s="16" t="n">
        <x:f>COUNTIFS('COMPENDIO'!K5:K516,A10,'COMPENDIO'!J5:J516,"RESUELTO")</x:f>
        <x:v>0</x:v>
      </x:c>
      <x:c r="G10" s="16" t="n">
        <x:f>COUNTIFS('COMPENDIO'!K5:K516,A10,'COMPENDIO'!J5:J516,"EN PROCESO")</x:f>
        <x:v>0</x:v>
      </x:c>
      <x:c r="H10" s="16" t="n">
        <x:f>COUNTIFS('COMPENDIO'!K5:K516,A10,'COMPENDIO'!J5:J516,"PENDIENTE")</x:f>
        <x:v>18</x:v>
      </x:c>
      <x:c r="I10" s="8" t="str">
        <x:v>Avance mensual conforme a priorización.</x:v>
      </x:c>
    </x:row>
    <x:row r="11" ht="15" hidden="0" customHeight="1">
      <x:c r="A11" s="10" t="n">
        <x:v>46433</x:v>
      </x:c>
      <x:c r="B11" s="16" t="n">
        <x:f>COUNTIF('COMPENDIO'!K5:K516,A11)</x:f>
        <x:v>18</x:v>
      </x:c>
      <x:c r="C11" s="16" t="n">
        <x:f>COUNTIFS('COMPENDIO'!K5:K516,A11,'COMPENDIO'!C5:C516,"CRITICAL")</x:f>
        <x:v>0</x:v>
      </x:c>
      <x:c r="D11" s="16" t="n">
        <x:f>COUNTIFS('COMPENDIO'!K5:K516,A11,'COMPENDIO'!C5:C516,"HIGH")</x:f>
        <x:v>18</x:v>
      </x:c>
      <x:c r="E11" s="16" t="n">
        <x:f>COUNTIFS('COMPENDIO'!K5:K516,A11,'COMPENDIO'!C5:C516,"MEDIUM")</x:f>
        <x:v>0</x:v>
      </x:c>
      <x:c r="F11" s="16" t="n">
        <x:f>COUNTIFS('COMPENDIO'!K5:K516,A11,'COMPENDIO'!J5:J516,"RESUELTO")</x:f>
        <x:v>0</x:v>
      </x:c>
      <x:c r="G11" s="16" t="n">
        <x:f>COUNTIFS('COMPENDIO'!K5:K516,A11,'COMPENDIO'!J5:J516,"EN PROCESO")</x:f>
        <x:v>0</x:v>
      </x:c>
      <x:c r="H11" s="16" t="n">
        <x:f>COUNTIFS('COMPENDIO'!K5:K516,A11,'COMPENDIO'!J5:J516,"PENDIENTE")</x:f>
        <x:v>18</x:v>
      </x:c>
      <x:c r="I11" s="8" t="str">
        <x:v>Avance mensual conforme a priorización.</x:v>
      </x:c>
    </x:row>
    <x:row r="12" ht="15" hidden="0" customHeight="1">
      <x:c r="A12" s="10" t="n">
        <x:v>46461</x:v>
      </x:c>
      <x:c r="B12" s="16" t="n">
        <x:f>COUNTIF('COMPENDIO'!K5:K516,A12)</x:f>
        <x:v>17</x:v>
      </x:c>
      <x:c r="C12" s="16" t="n">
        <x:f>COUNTIFS('COMPENDIO'!K5:K516,A12,'COMPENDIO'!C5:C516,"CRITICAL")</x:f>
        <x:v>0</x:v>
      </x:c>
      <x:c r="D12" s="16" t="n">
        <x:f>COUNTIFS('COMPENDIO'!K5:K516,A12,'COMPENDIO'!C5:C516,"HIGH")</x:f>
        <x:v>17</x:v>
      </x:c>
      <x:c r="E12" s="16" t="n">
        <x:f>COUNTIFS('COMPENDIO'!K5:K516,A12,'COMPENDIO'!C5:C516,"MEDIUM")</x:f>
        <x:v>0</x:v>
      </x:c>
      <x:c r="F12" s="16" t="n">
        <x:f>COUNTIFS('COMPENDIO'!K5:K516,A12,'COMPENDIO'!J5:J516,"RESUELTO")</x:f>
        <x:v>0</x:v>
      </x:c>
      <x:c r="G12" s="16" t="n">
        <x:f>COUNTIFS('COMPENDIO'!K5:K516,A12,'COMPENDIO'!J5:J516,"EN PROCESO")</x:f>
        <x:v>0</x:v>
      </x:c>
      <x:c r="H12" s="16" t="n">
        <x:f>COUNTIFS('COMPENDIO'!K5:K516,A12,'COMPENDIO'!J5:J516,"PENDIENTE")</x:f>
        <x:v>17</x:v>
      </x:c>
      <x:c r="I12" s="8" t="str">
        <x:v>Avance mensual conforme a priorización.</x:v>
      </x:c>
    </x:row>
    <x:row r="13" ht="15" hidden="0" customHeight="1">
      <x:c r="A13" s="10" t="n">
        <x:v>46492</x:v>
      </x:c>
      <x:c r="B13" s="16" t="n">
        <x:f>COUNTIF('COMPENDIO'!K5:K516,A13)</x:f>
        <x:v>18</x:v>
      </x:c>
      <x:c r="C13" s="16" t="n">
        <x:f>COUNTIFS('COMPENDIO'!K5:K516,A13,'COMPENDIO'!C5:C516,"CRITICAL")</x:f>
        <x:v>0</x:v>
      </x:c>
      <x:c r="D13" s="16" t="n">
        <x:f>COUNTIFS('COMPENDIO'!K5:K516,A13,'COMPENDIO'!C5:C516,"HIGH")</x:f>
        <x:v>18</x:v>
      </x:c>
      <x:c r="E13" s="16" t="n">
        <x:f>COUNTIFS('COMPENDIO'!K5:K516,A13,'COMPENDIO'!C5:C516,"MEDIUM")</x:f>
        <x:v>0</x:v>
      </x:c>
      <x:c r="F13" s="16" t="n">
        <x:f>COUNTIFS('COMPENDIO'!K5:K516,A13,'COMPENDIO'!J5:J516,"RESUELTO")</x:f>
        <x:v>0</x:v>
      </x:c>
      <x:c r="G13" s="16" t="n">
        <x:f>COUNTIFS('COMPENDIO'!K5:K516,A13,'COMPENDIO'!J5:J516,"EN PROCESO")</x:f>
        <x:v>0</x:v>
      </x:c>
      <x:c r="H13" s="16" t="n">
        <x:f>COUNTIFS('COMPENDIO'!K5:K516,A13,'COMPENDIO'!J5:J516,"PENDIENTE")</x:f>
        <x:v>18</x:v>
      </x:c>
      <x:c r="I13" s="8" t="str">
        <x:v>Avance mensual conforme a priorización.</x:v>
      </x:c>
    </x:row>
    <x:row r="14" ht="15" hidden="0" customHeight="1">
      <x:c r="A14" s="10" t="n">
        <x:v>46522</x:v>
      </x:c>
      <x:c r="B14" s="16" t="n">
        <x:f>COUNTIF('COMPENDIO'!K5:K516,A14)</x:f>
        <x:v>18</x:v>
      </x:c>
      <x:c r="C14" s="16" t="n">
        <x:f>COUNTIFS('COMPENDIO'!K5:K516,A14,'COMPENDIO'!C5:C516,"CRITICAL")</x:f>
        <x:v>0</x:v>
      </x:c>
      <x:c r="D14" s="16" t="n">
        <x:f>COUNTIFS('COMPENDIO'!K5:K516,A14,'COMPENDIO'!C5:C516,"HIGH")</x:f>
        <x:v>18</x:v>
      </x:c>
      <x:c r="E14" s="16" t="n">
        <x:f>COUNTIFS('COMPENDIO'!K5:K516,A14,'COMPENDIO'!C5:C516,"MEDIUM")</x:f>
        <x:v>0</x:v>
      </x:c>
      <x:c r="F14" s="16" t="n">
        <x:f>COUNTIFS('COMPENDIO'!K5:K516,A14,'COMPENDIO'!J5:J516,"RESUELTO")</x:f>
        <x:v>0</x:v>
      </x:c>
      <x:c r="G14" s="16" t="n">
        <x:f>COUNTIFS('COMPENDIO'!K5:K516,A14,'COMPENDIO'!J5:J516,"EN PROCESO")</x:f>
        <x:v>0</x:v>
      </x:c>
      <x:c r="H14" s="16" t="n">
        <x:f>COUNTIFS('COMPENDIO'!K5:K516,A14,'COMPENDIO'!J5:J516,"PENDIENTE")</x:f>
        <x:v>18</x:v>
      </x:c>
      <x:c r="I14" s="8" t="str">
        <x:v>Avance mensual conforme a priorización.</x:v>
      </x:c>
    </x:row>
    <x:row r="15" ht="15" hidden="0" customHeight="1">
      <x:c r="A15" s="10" t="n">
        <x:v>46553</x:v>
      </x:c>
      <x:c r="B15" s="16" t="n">
        <x:f>COUNTIF('COMPENDIO'!K5:K516,A15)</x:f>
        <x:v>18</x:v>
      </x:c>
      <x:c r="C15" s="16" t="n">
        <x:f>COUNTIFS('COMPENDIO'!K5:K516,A15,'COMPENDIO'!C5:C516,"CRITICAL")</x:f>
        <x:v>0</x:v>
      </x:c>
      <x:c r="D15" s="16" t="n">
        <x:f>COUNTIFS('COMPENDIO'!K5:K516,A15,'COMPENDIO'!C5:C516,"HIGH")</x:f>
        <x:v>18</x:v>
      </x:c>
      <x:c r="E15" s="16" t="n">
        <x:f>COUNTIFS('COMPENDIO'!K5:K516,A15,'COMPENDIO'!C5:C516,"MEDIUM")</x:f>
        <x:v>0</x:v>
      </x:c>
      <x:c r="F15" s="16" t="n">
        <x:f>COUNTIFS('COMPENDIO'!K5:K516,A15,'COMPENDIO'!J5:J516,"RESUELTO")</x:f>
        <x:v>0</x:v>
      </x:c>
      <x:c r="G15" s="16" t="n">
        <x:f>COUNTIFS('COMPENDIO'!K5:K516,A15,'COMPENDIO'!J5:J516,"EN PROCESO")</x:f>
        <x:v>0</x:v>
      </x:c>
      <x:c r="H15" s="16" t="n">
        <x:f>COUNTIFS('COMPENDIO'!K5:K516,A15,'COMPENDIO'!J5:J516,"PENDIENTE")</x:f>
        <x:v>18</x:v>
      </x:c>
      <x:c r="I15" s="8" t="str">
        <x:v>Avance mensual conforme a priorización.</x:v>
      </x:c>
    </x:row>
    <x:row r="16" ht="15" hidden="0" customHeight="1">
      <x:c r="A16" s="10" t="n">
        <x:v>46583</x:v>
      </x:c>
      <x:c r="B16" s="16" t="n">
        <x:f>COUNTIF('COMPENDIO'!K5:K516,A16)</x:f>
        <x:v>18</x:v>
      </x:c>
      <x:c r="C16" s="16" t="n">
        <x:f>COUNTIFS('COMPENDIO'!K5:K516,A16,'COMPENDIO'!C5:C516,"CRITICAL")</x:f>
        <x:v>0</x:v>
      </x:c>
      <x:c r="D16" s="16" t="n">
        <x:f>COUNTIFS('COMPENDIO'!K5:K516,A16,'COMPENDIO'!C5:C516,"HIGH")</x:f>
        <x:v>7</x:v>
      </x:c>
      <x:c r="E16" s="16" t="n">
        <x:f>COUNTIFS('COMPENDIO'!K5:K516,A16,'COMPENDIO'!C5:C516,"MEDIUM")</x:f>
        <x:v>11</x:v>
      </x:c>
      <x:c r="F16" s="16" t="n">
        <x:f>COUNTIFS('COMPENDIO'!K5:K516,A16,'COMPENDIO'!J5:J516,"RESUELTO")</x:f>
        <x:v>0</x:v>
      </x:c>
      <x:c r="G16" s="16" t="n">
        <x:f>COUNTIFS('COMPENDIO'!K5:K516,A16,'COMPENDIO'!J5:J516,"EN PROCESO")</x:f>
        <x:v>0</x:v>
      </x:c>
      <x:c r="H16" s="16" t="n">
        <x:f>COUNTIFS('COMPENDIO'!K5:K516,A16,'COMPENDIO'!J5:J516,"PENDIENTE")</x:f>
        <x:v>18</x:v>
      </x:c>
      <x:c r="I16" s="8" t="str">
        <x:v>Avance mensual conforme a priorización.</x:v>
      </x:c>
    </x:row>
    <x:row r="17" ht="15" hidden="0" customHeight="1">
      <x:c r="A17" s="10" t="n">
        <x:v>46614</x:v>
      </x:c>
      <x:c r="B17" s="16" t="n">
        <x:f>COUNTIF('COMPENDIO'!K5:K516,A17)</x:f>
        <x:v>18</x:v>
      </x:c>
      <x:c r="C17" s="16" t="n">
        <x:f>COUNTIFS('COMPENDIO'!K5:K516,A17,'COMPENDIO'!C5:C516,"CRITICAL")</x:f>
        <x:v>0</x:v>
      </x:c>
      <x:c r="D17" s="16" t="n">
        <x:f>COUNTIFS('COMPENDIO'!K5:K516,A17,'COMPENDIO'!C5:C516,"HIGH")</x:f>
        <x:v>0</x:v>
      </x:c>
      <x:c r="E17" s="16" t="n">
        <x:f>COUNTIFS('COMPENDIO'!K5:K516,A17,'COMPENDIO'!C5:C516,"MEDIUM")</x:f>
        <x:v>18</x:v>
      </x:c>
      <x:c r="F17" s="16" t="n">
        <x:f>COUNTIFS('COMPENDIO'!K5:K516,A17,'COMPENDIO'!J5:J516,"RESUELTO")</x:f>
        <x:v>0</x:v>
      </x:c>
      <x:c r="G17" s="16" t="n">
        <x:f>COUNTIFS('COMPENDIO'!K5:K516,A17,'COMPENDIO'!J5:J516,"EN PROCESO")</x:f>
        <x:v>0</x:v>
      </x:c>
      <x:c r="H17" s="16" t="n">
        <x:f>COUNTIFS('COMPENDIO'!K5:K516,A17,'COMPENDIO'!J5:J516,"PENDIENTE")</x:f>
        <x:v>18</x:v>
      </x:c>
      <x:c r="I17" s="8" t="str">
        <x:v>Avance mensual conforme a priorización.</x:v>
      </x:c>
    </x:row>
    <x:row r="18" ht="15" hidden="0" customHeight="1">
      <x:c r="A18" s="10" t="n">
        <x:v>46645</x:v>
      </x:c>
      <x:c r="B18" s="16" t="n">
        <x:f>COUNTIF('COMPENDIO'!K5:K516,A18)</x:f>
        <x:v>18</x:v>
      </x:c>
      <x:c r="C18" s="16" t="n">
        <x:f>COUNTIFS('COMPENDIO'!K5:K516,A18,'COMPENDIO'!C5:C516,"CRITICAL")</x:f>
        <x:v>0</x:v>
      </x:c>
      <x:c r="D18" s="16" t="n">
        <x:f>COUNTIFS('COMPENDIO'!K5:K516,A18,'COMPENDIO'!C5:C516,"HIGH")</x:f>
        <x:v>0</x:v>
      </x:c>
      <x:c r="E18" s="16" t="n">
        <x:f>COUNTIFS('COMPENDIO'!K5:K516,A18,'COMPENDIO'!C5:C516,"MEDIUM")</x:f>
        <x:v>18</x:v>
      </x:c>
      <x:c r="F18" s="16" t="n">
        <x:f>COUNTIFS('COMPENDIO'!K5:K516,A18,'COMPENDIO'!J5:J516,"RESUELTO")</x:f>
        <x:v>0</x:v>
      </x:c>
      <x:c r="G18" s="16" t="n">
        <x:f>COUNTIFS('COMPENDIO'!K5:K516,A18,'COMPENDIO'!J5:J516,"EN PROCESO")</x:f>
        <x:v>0</x:v>
      </x:c>
      <x:c r="H18" s="16" t="n">
        <x:f>COUNTIFS('COMPENDIO'!K5:K516,A18,'COMPENDIO'!J5:J516,"PENDIENTE")</x:f>
        <x:v>18</x:v>
      </x:c>
      <x:c r="I18" s="8" t="str">
        <x:v>Avance mensual conforme a priorización.</x:v>
      </x:c>
    </x:row>
    <x:row r="19" ht="15" hidden="0" customHeight="1">
      <x:c r="A19" s="10" t="n">
        <x:v>46675</x:v>
      </x:c>
      <x:c r="B19" s="16" t="n">
        <x:f>COUNTIF('COMPENDIO'!K5:K516,A19)</x:f>
        <x:v>17</x:v>
      </x:c>
      <x:c r="C19" s="16" t="n">
        <x:f>COUNTIFS('COMPENDIO'!K5:K516,A19,'COMPENDIO'!C5:C516,"CRITICAL")</x:f>
        <x:v>0</x:v>
      </x:c>
      <x:c r="D19" s="16" t="n">
        <x:f>COUNTIFS('COMPENDIO'!K5:K516,A19,'COMPENDIO'!C5:C516,"HIGH")</x:f>
        <x:v>0</x:v>
      </x:c>
      <x:c r="E19" s="16" t="n">
        <x:f>COUNTIFS('COMPENDIO'!K5:K516,A19,'COMPENDIO'!C5:C516,"MEDIUM")</x:f>
        <x:v>17</x:v>
      </x:c>
      <x:c r="F19" s="16" t="n">
        <x:f>COUNTIFS('COMPENDIO'!K5:K516,A19,'COMPENDIO'!J5:J516,"RESUELTO")</x:f>
        <x:v>0</x:v>
      </x:c>
      <x:c r="G19" s="16" t="n">
        <x:f>COUNTIFS('COMPENDIO'!K5:K516,A19,'COMPENDIO'!J5:J516,"EN PROCESO")</x:f>
        <x:v>0</x:v>
      </x:c>
      <x:c r="H19" s="16" t="n">
        <x:f>COUNTIFS('COMPENDIO'!K5:K516,A19,'COMPENDIO'!J5:J516,"PENDIENTE")</x:f>
        <x:v>17</x:v>
      </x:c>
      <x:c r="I19" s="8" t="str">
        <x:v>Avance mensual conforme a priorización.</x:v>
      </x:c>
    </x:row>
    <x:row r="20" ht="15" hidden="0" customHeight="1">
      <x:c r="A20" s="10" t="n">
        <x:v>46706</x:v>
      </x:c>
      <x:c r="B20" s="16" t="n">
        <x:f>COUNTIF('COMPENDIO'!K5:K516,A20)</x:f>
        <x:v>18</x:v>
      </x:c>
      <x:c r="C20" s="16" t="n">
        <x:f>COUNTIFS('COMPENDIO'!K5:K516,A20,'COMPENDIO'!C5:C516,"CRITICAL")</x:f>
        <x:v>0</x:v>
      </x:c>
      <x:c r="D20" s="16" t="n">
        <x:f>COUNTIFS('COMPENDIO'!K5:K516,A20,'COMPENDIO'!C5:C516,"HIGH")</x:f>
        <x:v>0</x:v>
      </x:c>
      <x:c r="E20" s="16" t="n">
        <x:f>COUNTIFS('COMPENDIO'!K5:K516,A20,'COMPENDIO'!C5:C516,"MEDIUM")</x:f>
        <x:v>18</x:v>
      </x:c>
      <x:c r="F20" s="16" t="n">
        <x:f>COUNTIFS('COMPENDIO'!K5:K516,A20,'COMPENDIO'!J5:J516,"RESUELTO")</x:f>
        <x:v>0</x:v>
      </x:c>
      <x:c r="G20" s="16" t="n">
        <x:f>COUNTIFS('COMPENDIO'!K5:K516,A20,'COMPENDIO'!J5:J516,"EN PROCESO")</x:f>
        <x:v>0</x:v>
      </x:c>
      <x:c r="H20" s="16" t="n">
        <x:f>COUNTIFS('COMPENDIO'!K5:K516,A20,'COMPENDIO'!J5:J516,"PENDIENTE")</x:f>
        <x:v>18</x:v>
      </x:c>
      <x:c r="I20" s="8" t="str">
        <x:v>Avance mensual conforme a priorización.</x:v>
      </x:c>
    </x:row>
    <x:row r="21" ht="15" hidden="0" customHeight="1">
      <x:c r="A21" s="10" t="n">
        <x:v>46736</x:v>
      </x:c>
      <x:c r="B21" s="16" t="n">
        <x:f>COUNTIF('COMPENDIO'!K5:K516,A21)</x:f>
        <x:v>18</x:v>
      </x:c>
      <x:c r="C21" s="16" t="n">
        <x:f>COUNTIFS('COMPENDIO'!K5:K516,A21,'COMPENDIO'!C5:C516,"CRITICAL")</x:f>
        <x:v>0</x:v>
      </x:c>
      <x:c r="D21" s="16" t="n">
        <x:f>COUNTIFS('COMPENDIO'!K5:K516,A21,'COMPENDIO'!C5:C516,"HIGH")</x:f>
        <x:v>0</x:v>
      </x:c>
      <x:c r="E21" s="16" t="n">
        <x:f>COUNTIFS('COMPENDIO'!K5:K516,A21,'COMPENDIO'!C5:C516,"MEDIUM")</x:f>
        <x:v>18</x:v>
      </x:c>
      <x:c r="F21" s="16" t="n">
        <x:f>COUNTIFS('COMPENDIO'!K5:K516,A21,'COMPENDIO'!J5:J516,"RESUELTO")</x:f>
        <x:v>0</x:v>
      </x:c>
      <x:c r="G21" s="16" t="n">
        <x:f>COUNTIFS('COMPENDIO'!K5:K516,A21,'COMPENDIO'!J5:J516,"EN PROCESO")</x:f>
        <x:v>0</x:v>
      </x:c>
      <x:c r="H21" s="16" t="n">
        <x:f>COUNTIFS('COMPENDIO'!K5:K516,A21,'COMPENDIO'!J5:J516,"PENDIENTE")</x:f>
        <x:v>18</x:v>
      </x:c>
      <x:c r="I21" s="8" t="str">
        <x:v>Avance mensual conforme a priorización.</x:v>
      </x:c>
    </x:row>
    <x:row r="22" ht="15" hidden="0" customHeight="1">
      <x:c r="A22" s="10" t="n">
        <x:v>46767</x:v>
      </x:c>
      <x:c r="B22" s="16" t="n">
        <x:f>COUNTIF('COMPENDIO'!K5:K516,A22)</x:f>
        <x:v>18</x:v>
      </x:c>
      <x:c r="C22" s="16" t="n">
        <x:f>COUNTIFS('COMPENDIO'!K5:K516,A22,'COMPENDIO'!C5:C516,"CRITICAL")</x:f>
        <x:v>0</x:v>
      </x:c>
      <x:c r="D22" s="16" t="n">
        <x:f>COUNTIFS('COMPENDIO'!K5:K516,A22,'COMPENDIO'!C5:C516,"HIGH")</x:f>
        <x:v>0</x:v>
      </x:c>
      <x:c r="E22" s="16" t="n">
        <x:f>COUNTIFS('COMPENDIO'!K5:K516,A22,'COMPENDIO'!C5:C516,"MEDIUM")</x:f>
        <x:v>18</x:v>
      </x:c>
      <x:c r="F22" s="16" t="n">
        <x:f>COUNTIFS('COMPENDIO'!K5:K516,A22,'COMPENDIO'!J5:J516,"RESUELTO")</x:f>
        <x:v>0</x:v>
      </x:c>
      <x:c r="G22" s="16" t="n">
        <x:f>COUNTIFS('COMPENDIO'!K5:K516,A22,'COMPENDIO'!J5:J516,"EN PROCESO")</x:f>
        <x:v>0</x:v>
      </x:c>
      <x:c r="H22" s="16" t="n">
        <x:f>COUNTIFS('COMPENDIO'!K5:K516,A22,'COMPENDIO'!J5:J516,"PENDIENTE")</x:f>
        <x:v>18</x:v>
      </x:c>
      <x:c r="I22" s="8" t="str">
        <x:v>Avance mensual conforme a priorización.</x:v>
      </x:c>
    </x:row>
    <x:row r="23" ht="15" hidden="0" customHeight="1">
      <x:c r="A23" s="10" t="n">
        <x:v>46798</x:v>
      </x:c>
      <x:c r="B23" s="16" t="n">
        <x:f>COUNTIF('COMPENDIO'!K5:K516,A23)</x:f>
        <x:v>18</x:v>
      </x:c>
      <x:c r="C23" s="16" t="n">
        <x:f>COUNTIFS('COMPENDIO'!K5:K516,A23,'COMPENDIO'!C5:C516,"CRITICAL")</x:f>
        <x:v>0</x:v>
      </x:c>
      <x:c r="D23" s="16" t="n">
        <x:f>COUNTIFS('COMPENDIO'!K5:K516,A23,'COMPENDIO'!C5:C516,"HIGH")</x:f>
        <x:v>0</x:v>
      </x:c>
      <x:c r="E23" s="16" t="n">
        <x:f>COUNTIFS('COMPENDIO'!K5:K516,A23,'COMPENDIO'!C5:C516,"MEDIUM")</x:f>
        <x:v>18</x:v>
      </x:c>
      <x:c r="F23" s="16" t="n">
        <x:f>COUNTIFS('COMPENDIO'!K5:K516,A23,'COMPENDIO'!J5:J516,"RESUELTO")</x:f>
        <x:v>0</x:v>
      </x:c>
      <x:c r="G23" s="16" t="n">
        <x:f>COUNTIFS('COMPENDIO'!K5:K516,A23,'COMPENDIO'!J5:J516,"EN PROCESO")</x:f>
        <x:v>0</x:v>
      </x:c>
      <x:c r="H23" s="16" t="n">
        <x:f>COUNTIFS('COMPENDIO'!K5:K516,A23,'COMPENDIO'!J5:J516,"PENDIENTE")</x:f>
        <x:v>18</x:v>
      </x:c>
      <x:c r="I23" s="8" t="str">
        <x:v>Avance mensual conforme a priorización.</x:v>
      </x:c>
    </x:row>
    <x:row r="24" ht="15" hidden="0" customHeight="1">
      <x:c r="A24" s="10" t="n">
        <x:v>46827</x:v>
      </x:c>
      <x:c r="B24" s="16" t="n">
        <x:f>COUNTIF('COMPENDIO'!K5:K516,A24)</x:f>
        <x:v>18</x:v>
      </x:c>
      <x:c r="C24" s="16" t="n">
        <x:f>COUNTIFS('COMPENDIO'!K5:K516,A24,'COMPENDIO'!C5:C516,"CRITICAL")</x:f>
        <x:v>0</x:v>
      </x:c>
      <x:c r="D24" s="16" t="n">
        <x:f>COUNTIFS('COMPENDIO'!K5:K516,A24,'COMPENDIO'!C5:C516,"HIGH")</x:f>
        <x:v>0</x:v>
      </x:c>
      <x:c r="E24" s="16" t="n">
        <x:f>COUNTIFS('COMPENDIO'!K5:K516,A24,'COMPENDIO'!C5:C516,"MEDIUM")</x:f>
        <x:v>18</x:v>
      </x:c>
      <x:c r="F24" s="16" t="n">
        <x:f>COUNTIFS('COMPENDIO'!K5:K516,A24,'COMPENDIO'!J5:J516,"RESUELTO")</x:f>
        <x:v>0</x:v>
      </x:c>
      <x:c r="G24" s="16" t="n">
        <x:f>COUNTIFS('COMPENDIO'!K5:K516,A24,'COMPENDIO'!J5:J516,"EN PROCESO")</x:f>
        <x:v>0</x:v>
      </x:c>
      <x:c r="H24" s="16" t="n">
        <x:f>COUNTIFS('COMPENDIO'!K5:K516,A24,'COMPENDIO'!J5:J516,"PENDIENTE")</x:f>
        <x:v>18</x:v>
      </x:c>
      <x:c r="I24" s="8" t="str">
        <x:v>Avance mensual conforme a priorización.</x:v>
      </x:c>
    </x:row>
    <x:row r="25" ht="15" hidden="0" customHeight="1">
      <x:c r="A25" s="10" t="n">
        <x:v>46858</x:v>
      </x:c>
      <x:c r="B25" s="16" t="n">
        <x:f>COUNTIF('COMPENDIO'!K5:K516,A25)</x:f>
        <x:v>18</x:v>
      </x:c>
      <x:c r="C25" s="16" t="n">
        <x:f>COUNTIFS('COMPENDIO'!K5:K516,A25,'COMPENDIO'!C5:C516,"CRITICAL")</x:f>
        <x:v>0</x:v>
      </x:c>
      <x:c r="D25" s="16" t="n">
        <x:f>COUNTIFS('COMPENDIO'!K5:K516,A25,'COMPENDIO'!C5:C516,"HIGH")</x:f>
        <x:v>0</x:v>
      </x:c>
      <x:c r="E25" s="16" t="n">
        <x:f>COUNTIFS('COMPENDIO'!K5:K516,A25,'COMPENDIO'!C5:C516,"MEDIUM")</x:f>
        <x:v>18</x:v>
      </x:c>
      <x:c r="F25" s="16" t="n">
        <x:f>COUNTIFS('COMPENDIO'!K5:K516,A25,'COMPENDIO'!J5:J516,"RESUELTO")</x:f>
        <x:v>0</x:v>
      </x:c>
      <x:c r="G25" s="16" t="n">
        <x:f>COUNTIFS('COMPENDIO'!K5:K516,A25,'COMPENDIO'!J5:J516,"EN PROCESO")</x:f>
        <x:v>0</x:v>
      </x:c>
      <x:c r="H25" s="16" t="n">
        <x:f>COUNTIFS('COMPENDIO'!K5:K516,A25,'COMPENDIO'!J5:J516,"PENDIENTE")</x:f>
        <x:v>18</x:v>
      </x:c>
      <x:c r="I25" s="8" t="str">
        <x:v>Avance mensual conforme a priorización.</x:v>
      </x:c>
    </x:row>
    <x:row r="26" ht="15" hidden="0" customHeight="1">
      <x:c r="A26" s="10" t="n">
        <x:v>46888</x:v>
      </x:c>
      <x:c r="B26" s="16" t="n">
        <x:f>COUNTIF('COMPENDIO'!K5:K516,A26)</x:f>
        <x:v>17</x:v>
      </x:c>
      <x:c r="C26" s="16" t="n">
        <x:f>COUNTIFS('COMPENDIO'!K5:K516,A26,'COMPENDIO'!C5:C516,"CRITICAL")</x:f>
        <x:v>0</x:v>
      </x:c>
      <x:c r="D26" s="16" t="n">
        <x:f>COUNTIFS('COMPENDIO'!K5:K516,A26,'COMPENDIO'!C5:C516,"HIGH")</x:f>
        <x:v>0</x:v>
      </x:c>
      <x:c r="E26" s="16" t="n">
        <x:f>COUNTIFS('COMPENDIO'!K5:K516,A26,'COMPENDIO'!C5:C516,"MEDIUM")</x:f>
        <x:v>17</x:v>
      </x:c>
      <x:c r="F26" s="16" t="n">
        <x:f>COUNTIFS('COMPENDIO'!K5:K516,A26,'COMPENDIO'!J5:J516,"RESUELTO")</x:f>
        <x:v>0</x:v>
      </x:c>
      <x:c r="G26" s="16" t="n">
        <x:f>COUNTIFS('COMPENDIO'!K5:K516,A26,'COMPENDIO'!J5:J516,"EN PROCESO")</x:f>
        <x:v>0</x:v>
      </x:c>
      <x:c r="H26" s="16" t="n">
        <x:f>COUNTIFS('COMPENDIO'!K5:K516,A26,'COMPENDIO'!J5:J516,"PENDIENTE")</x:f>
        <x:v>17</x:v>
      </x:c>
      <x:c r="I26" s="8" t="str">
        <x:v>Avance mensual conforme a priorización.</x:v>
      </x:c>
    </x:row>
    <x:row r="27" ht="15" hidden="0" customHeight="1">
      <x:c r="A27" s="10" t="n">
        <x:v>46919</x:v>
      </x:c>
      <x:c r="B27" s="16" t="n">
        <x:f>COUNTIF('COMPENDIO'!K5:K516,A27)</x:f>
        <x:v>18</x:v>
      </x:c>
      <x:c r="C27" s="16" t="n">
        <x:f>COUNTIFS('COMPENDIO'!K5:K516,A27,'COMPENDIO'!C5:C516,"CRITICAL")</x:f>
        <x:v>0</x:v>
      </x:c>
      <x:c r="D27" s="16" t="n">
        <x:f>COUNTIFS('COMPENDIO'!K5:K516,A27,'COMPENDIO'!C5:C516,"HIGH")</x:f>
        <x:v>0</x:v>
      </x:c>
      <x:c r="E27" s="16" t="n">
        <x:f>COUNTIFS('COMPENDIO'!K5:K516,A27,'COMPENDIO'!C5:C516,"MEDIUM")</x:f>
        <x:v>18</x:v>
      </x:c>
      <x:c r="F27" s="16" t="n">
        <x:f>COUNTIFS('COMPENDIO'!K5:K516,A27,'COMPENDIO'!J5:J516,"RESUELTO")</x:f>
        <x:v>0</x:v>
      </x:c>
      <x:c r="G27" s="16" t="n">
        <x:f>COUNTIFS('COMPENDIO'!K5:K516,A27,'COMPENDIO'!J5:J516,"EN PROCESO")</x:f>
        <x:v>0</x:v>
      </x:c>
      <x:c r="H27" s="16" t="n">
        <x:f>COUNTIFS('COMPENDIO'!K5:K516,A27,'COMPENDIO'!J5:J516,"PENDIENTE")</x:f>
        <x:v>18</x:v>
      </x:c>
      <x:c r="I27" s="8" t="str">
        <x:v>Avance mensual conforme a priorización.</x:v>
      </x:c>
    </x:row>
    <x:row r="28" ht="15" hidden="0" customHeight="1">
      <x:c r="A28" s="10" t="n">
        <x:v>46949</x:v>
      </x:c>
      <x:c r="B28" s="16" t="n">
        <x:f>COUNTIF('COMPENDIO'!K5:K516,A28)</x:f>
        <x:v>18</x:v>
      </x:c>
      <x:c r="C28" s="16" t="n">
        <x:f>COUNTIFS('COMPENDIO'!K5:K516,A28,'COMPENDIO'!C5:C516,"CRITICAL")</x:f>
        <x:v>0</x:v>
      </x:c>
      <x:c r="D28" s="16" t="n">
        <x:f>COUNTIFS('COMPENDIO'!K5:K516,A28,'COMPENDIO'!C5:C516,"HIGH")</x:f>
        <x:v>0</x:v>
      </x:c>
      <x:c r="E28" s="16" t="n">
        <x:f>COUNTIFS('COMPENDIO'!K5:K516,A28,'COMPENDIO'!C5:C516,"MEDIUM")</x:f>
        <x:v>18</x:v>
      </x:c>
      <x:c r="F28" s="16" t="n">
        <x:f>COUNTIFS('COMPENDIO'!K5:K516,A28,'COMPENDIO'!J5:J516,"RESUELTO")</x:f>
        <x:v>0</x:v>
      </x:c>
      <x:c r="G28" s="16" t="n">
        <x:f>COUNTIFS('COMPENDIO'!K5:K516,A28,'COMPENDIO'!J5:J516,"EN PROCESO")</x:f>
        <x:v>0</x:v>
      </x:c>
      <x:c r="H28" s="16" t="n">
        <x:f>COUNTIFS('COMPENDIO'!K5:K516,A28,'COMPENDIO'!J5:J516,"PENDIENTE")</x:f>
        <x:v>18</x:v>
      </x:c>
      <x:c r="I28" s="8" t="str">
        <x:v>Avance mensual conforme a priorización.</x:v>
      </x:c>
    </x:row>
    <x:row r="29" ht="15" hidden="0" customHeight="1">
      <x:c r="A29" s="10" t="n">
        <x:v>46980</x:v>
      </x:c>
      <x:c r="B29" s="16" t="n">
        <x:f>COUNTIF('COMPENDIO'!K5:K516,A29)</x:f>
        <x:v>18</x:v>
      </x:c>
      <x:c r="C29" s="16" t="n">
        <x:f>COUNTIFS('COMPENDIO'!K5:K516,A29,'COMPENDIO'!C5:C516,"CRITICAL")</x:f>
        <x:v>0</x:v>
      </x:c>
      <x:c r="D29" s="16" t="n">
        <x:f>COUNTIFS('COMPENDIO'!K5:K516,A29,'COMPENDIO'!C5:C516,"HIGH")</x:f>
        <x:v>0</x:v>
      </x:c>
      <x:c r="E29" s="16" t="n">
        <x:f>COUNTIFS('COMPENDIO'!K5:K516,A29,'COMPENDIO'!C5:C516,"MEDIUM")</x:f>
        <x:v>18</x:v>
      </x:c>
      <x:c r="F29" s="16" t="n">
        <x:f>COUNTIFS('COMPENDIO'!K5:K516,A29,'COMPENDIO'!J5:J516,"RESUELTO")</x:f>
        <x:v>0</x:v>
      </x:c>
      <x:c r="G29" s="16" t="n">
        <x:f>COUNTIFS('COMPENDIO'!K5:K516,A29,'COMPENDIO'!J5:J516,"EN PROCESO")</x:f>
        <x:v>0</x:v>
      </x:c>
      <x:c r="H29" s="16" t="n">
        <x:f>COUNTIFS('COMPENDIO'!K5:K516,A29,'COMPENDIO'!J5:J516,"PENDIENTE")</x:f>
        <x:v>18</x:v>
      </x:c>
      <x:c r="I29" s="8" t="str">
        <x:v>Avance mensual conforme a priorización.</x:v>
      </x:c>
    </x:row>
    <x:row r="30" ht="15" hidden="0" customHeight="1">
      <x:c r="A30" s="10" t="n">
        <x:v>47011</x:v>
      </x:c>
      <x:c r="B30" s="16" t="n">
        <x:f>COUNTIF('COMPENDIO'!K5:K516,A30)</x:f>
        <x:v>18</x:v>
      </x:c>
      <x:c r="C30" s="16" t="n">
        <x:f>COUNTIFS('COMPENDIO'!K5:K516,A30,'COMPENDIO'!C5:C516,"CRITICAL")</x:f>
        <x:v>0</x:v>
      </x:c>
      <x:c r="D30" s="16" t="n">
        <x:f>COUNTIFS('COMPENDIO'!K5:K516,A30,'COMPENDIO'!C5:C516,"HIGH")</x:f>
        <x:v>0</x:v>
      </x:c>
      <x:c r="E30" s="16" t="n">
        <x:f>COUNTIFS('COMPENDIO'!K5:K516,A30,'COMPENDIO'!C5:C516,"MEDIUM")</x:f>
        <x:v>18</x:v>
      </x:c>
      <x:c r="F30" s="16" t="n">
        <x:f>COUNTIFS('COMPENDIO'!K5:K516,A30,'COMPENDIO'!J5:J516,"RESUELTO")</x:f>
        <x:v>0</x:v>
      </x:c>
      <x:c r="G30" s="16" t="n">
        <x:f>COUNTIFS('COMPENDIO'!K5:K516,A30,'COMPENDIO'!J5:J516,"EN PROCESO")</x:f>
        <x:v>0</x:v>
      </x:c>
      <x:c r="H30" s="16" t="n">
        <x:f>COUNTIFS('COMPENDIO'!K5:K516,A30,'COMPENDIO'!J5:J516,"PENDIENTE")</x:f>
        <x:v>18</x:v>
      </x:c>
      <x:c r="I30" s="8" t="str">
        <x:v>Avance mensual conforme a priorización.</x:v>
      </x:c>
    </x:row>
    <x:row r="31" ht="15" hidden="0" customHeight="1">
      <x:c r="A31" s="10" t="n">
        <x:v>47041</x:v>
      </x:c>
      <x:c r="B31" s="16" t="n">
        <x:f>COUNTIF('COMPENDIO'!K5:K516,A31)</x:f>
        <x:v>18</x:v>
      </x:c>
      <x:c r="C31" s="16" t="n">
        <x:f>COUNTIFS('COMPENDIO'!K5:K516,A31,'COMPENDIO'!C5:C516,"CRITICAL")</x:f>
        <x:v>0</x:v>
      </x:c>
      <x:c r="D31" s="16" t="n">
        <x:f>COUNTIFS('COMPENDIO'!K5:K516,A31,'COMPENDIO'!C5:C516,"HIGH")</x:f>
        <x:v>0</x:v>
      </x:c>
      <x:c r="E31" s="16" t="n">
        <x:f>COUNTIFS('COMPENDIO'!K5:K516,A31,'COMPENDIO'!C5:C516,"MEDIUM")</x:f>
        <x:v>18</x:v>
      </x:c>
      <x:c r="F31" s="16" t="n">
        <x:f>COUNTIFS('COMPENDIO'!K5:K516,A31,'COMPENDIO'!J5:J516,"RESUELTO")</x:f>
        <x:v>0</x:v>
      </x:c>
      <x:c r="G31" s="16" t="n">
        <x:f>COUNTIFS('COMPENDIO'!K5:K516,A31,'COMPENDIO'!J5:J516,"EN PROCESO")</x:f>
        <x:v>0</x:v>
      </x:c>
      <x:c r="H31" s="16" t="n">
        <x:f>COUNTIFS('COMPENDIO'!K5:K516,A31,'COMPENDIO'!J5:J516,"PENDIENTE")</x:f>
        <x:v>18</x:v>
      </x:c>
      <x:c r="I31" s="8" t="str">
        <x:v>Avance mensual conforme a priorización.</x:v>
      </x:c>
    </x:row>
    <x:row r="32" ht="15" hidden="0" customHeight="1">
      <x:c r="A32" s="10" t="n">
        <x:v>47072</x:v>
      </x:c>
      <x:c r="B32" s="16" t="n">
        <x:f>COUNTIF('COMPENDIO'!K5:K516,A32)</x:f>
        <x:v>18</x:v>
      </x:c>
      <x:c r="C32" s="16" t="n">
        <x:f>COUNTIFS('COMPENDIO'!K5:K516,A32,'COMPENDIO'!C5:C516,"CRITICAL")</x:f>
        <x:v>0</x:v>
      </x:c>
      <x:c r="D32" s="16" t="n">
        <x:f>COUNTIFS('COMPENDIO'!K5:K516,A32,'COMPENDIO'!C5:C516,"HIGH")</x:f>
        <x:v>0</x:v>
      </x:c>
      <x:c r="E32" s="16" t="n">
        <x:f>COUNTIFS('COMPENDIO'!K5:K516,A32,'COMPENDIO'!C5:C516,"MEDIUM")</x:f>
        <x:v>18</x:v>
      </x:c>
      <x:c r="F32" s="16" t="n">
        <x:f>COUNTIFS('COMPENDIO'!K5:K516,A32,'COMPENDIO'!J5:J516,"RESUELTO")</x:f>
        <x:v>0</x:v>
      </x:c>
      <x:c r="G32" s="16" t="n">
        <x:f>COUNTIFS('COMPENDIO'!K5:K516,A32,'COMPENDIO'!J5:J516,"EN PROCESO")</x:f>
        <x:v>0</x:v>
      </x:c>
      <x:c r="H32" s="16" t="n">
        <x:f>COUNTIFS('COMPENDIO'!K5:K516,A32,'COMPENDIO'!J5:J516,"PENDIENTE")</x:f>
        <x:v>18</x:v>
      </x:c>
      <x:c r="I32" s="8" t="str">
        <x:v>Avance mensual conforme a priorización.</x:v>
      </x:c>
    </x:row>
    <x:row r="33" ht="15" hidden="0" customHeight="1">
      <x:c r="A33" s="10" t="n">
        <x:v>47102</x:v>
      </x:c>
      <x:c r="B33" s="16" t="n">
        <x:f>COUNTIF('COMPENDIO'!K5:K516,A33)</x:f>
        <x:v>17</x:v>
      </x:c>
      <x:c r="C33" s="16" t="n">
        <x:f>COUNTIFS('COMPENDIO'!K5:K516,A33,'COMPENDIO'!C5:C516,"CRITICAL")</x:f>
        <x:v>0</x:v>
      </x:c>
      <x:c r="D33" s="16" t="n">
        <x:f>COUNTIFS('COMPENDIO'!K5:K516,A33,'COMPENDIO'!C5:C516,"HIGH")</x:f>
        <x:v>0</x:v>
      </x:c>
      <x:c r="E33" s="16" t="n">
        <x:f>COUNTIFS('COMPENDIO'!K5:K516,A33,'COMPENDIO'!C5:C516,"MEDIUM")</x:f>
        <x:v>17</x:v>
      </x:c>
      <x:c r="F33" s="16" t="n">
        <x:f>COUNTIFS('COMPENDIO'!K5:K516,A33,'COMPENDIO'!J5:J516,"RESUELTO")</x:f>
        <x:v>0</x:v>
      </x:c>
      <x:c r="G33" s="16" t="n">
        <x:f>COUNTIFS('COMPENDIO'!K5:K516,A33,'COMPENDIO'!J5:J516,"EN PROCESO")</x:f>
        <x:v>0</x:v>
      </x:c>
      <x:c r="H33" s="16" t="n">
        <x:f>COUNTIFS('COMPENDIO'!K5:K516,A33,'COMPENDIO'!J5:J516,"PENDIENTE")</x:f>
        <x:v>17</x:v>
      </x:c>
      <x:c r="I33" s="8" t="str">
        <x:v>Avance mensual conforme a priorización.</x:v>
      </x:c>
    </x:row>
  </x:sheetData>
  <x:mergeCells>
    <x:mergeCell ref="A2:I2"/>
  </x:mergeCells>
  <x:pageMargins left="0.7" right="0.7" top="0.75" bottom="0.75" header="0.3" footer="0.3"/>
</x:worksheet>
</file>