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DESKTOP-NQ89E0H\Departamento de Analisis\Riesgos Institucionales\2026\TRIMESTRALES\"/>
    </mc:Choice>
  </mc:AlternateContent>
  <xr:revisionPtr revIDLastSave="0" documentId="13_ncr:1_{2DEFB319-13FB-4E4E-A0B4-E0F42AD64D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5 " sheetId="5" r:id="rId1"/>
  </sheets>
  <definedNames>
    <definedName name="_xlnm._FilterDatabase" localSheetId="0" hidden="1">'R5 '!$A$1:$D$6</definedName>
    <definedName name="_xlnm.Print_Area" localSheetId="0">'R5 '!$A$1:$D$33</definedName>
    <definedName name="_xlnm.Print_Titles" localSheetId="0">'R5 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5" l="1"/>
  <c r="L8" i="5"/>
  <c r="L9" i="5"/>
  <c r="L10" i="5"/>
  <c r="L11" i="5"/>
  <c r="L6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<sst xmlns="http://schemas.openxmlformats.org/spreadsheetml/2006/main" count="44" uniqueCount="41">
  <si>
    <t>ACCIONES DE CONTROL</t>
  </si>
  <si>
    <t>FACTOR</t>
  </si>
  <si>
    <t>No.</t>
  </si>
  <si>
    <t>UNIDADES 
RESPONSABLES</t>
  </si>
  <si>
    <t>MEDIOS DE VERIFICACIÓN</t>
  </si>
  <si>
    <t>AVANCES TRIMESTRALES</t>
  </si>
  <si>
    <t>% 
DE AVANCE
 1ER
TRIMESTRE</t>
  </si>
  <si>
    <t>COMENTARIOS
 O.I.C.</t>
  </si>
  <si>
    <t xml:space="preserve"> 
PRINCIPAL PROBLEMÁTICA QUE OBSTACULIZA SU CUMPLIMIENTO A LAS METAS PROGRAMADAS</t>
  </si>
  <si>
    <t xml:space="preserve"> 
ACCIONES EXTRAORDINARIAS QUE SE ESTÁN REALIZANDO PARA EVITAR LA MATERIALIZACIÓN DE LOS RIESGOS</t>
  </si>
  <si>
    <t>DESCRIPCIÓN 
CUALITATIVA</t>
  </si>
  <si>
    <t>% 
DE AVANCE
 2DO TRIMESTRE</t>
  </si>
  <si>
    <t>% 
DE AVANCE
 3ER
 TRIMESTRE</t>
  </si>
  <si>
    <t>% 
DE AVANCE
4TO
 TRIMESTRE</t>
  </si>
  <si>
    <t>% 
AVANCE
TOTAL
ACUMULADO
2025</t>
  </si>
  <si>
    <t>OBSERVACIONES</t>
  </si>
  <si>
    <t xml:space="preserve">Unidad Responsable: Dirección de Administración y Finanzas </t>
  </si>
  <si>
    <t>Riesgo 5. Infraestructura tecnológica mantenida de forma limitada y sistemas críticos operados deficientemente.</t>
  </si>
  <si>
    <t>Falta de TIC´S e infraestructura, elementales para la operación de los servicios y productos financieros del Organismo.</t>
  </si>
  <si>
    <t xml:space="preserve">Ausencia de un  Sistema de Gestión de Seguridad de la Información (SGSI) que permita, identificar, evaluar, y gestionar los riesgos de seguridad de la información. </t>
  </si>
  <si>
    <t>5.1.1</t>
  </si>
  <si>
    <t xml:space="preserve">Continuidad de la operación del Core Bancario en cumplimiento con la normatividad. </t>
  </si>
  <si>
    <t>5.1.2</t>
  </si>
  <si>
    <t xml:space="preserve">Avance del programa de trabajo para el desarrollo de aplicativos internos que contemplen aplicaciones, herramientas y servicios digitales, de acuerdo a las metas programadas para 2026. </t>
  </si>
  <si>
    <t>5.1.3</t>
  </si>
  <si>
    <t>Presentar un diagnóstico y Programa de trabajo de mantenimiento preventivo y correctivo a la infraestructura.</t>
  </si>
  <si>
    <t>5.1.4</t>
  </si>
  <si>
    <t xml:space="preserve">Implementar las gestiones para modernizar la infraestructura de supresión de incendios del SITE. </t>
  </si>
  <si>
    <t>5.2.1</t>
  </si>
  <si>
    <t>Actualización  del Plan de Continuidad  "Análisis de Impacto Operacional."</t>
  </si>
  <si>
    <t>5.2.2</t>
  </si>
  <si>
    <t xml:space="preserve">Diseñar una estrategia para la implementación de una sede alterna para el respaldo de información. 
</t>
  </si>
  <si>
    <t>(DAF-STIC'S)</t>
  </si>
  <si>
    <t>Reporte trimestral de la operación del core bancario y Bitacoras de actualización de las bases de datos METABASE.</t>
  </si>
  <si>
    <t>Informe trimestral del porcentaje de avance al programa de de trabajo para el desarrollo de aplicativos internos.</t>
  </si>
  <si>
    <t xml:space="preserve"> (DAF-STIC'S)</t>
  </si>
  <si>
    <t xml:space="preserve">Entregables de los servicios de manetenimiento preventivo y correctivo administrados. </t>
  </si>
  <si>
    <t>(STIC'S-DAF)</t>
  </si>
  <si>
    <t xml:space="preserve">Reporte trimestral de las gestiones para la modernización la infraestructura de supresión de incendios del SITE. </t>
  </si>
  <si>
    <t>Informe trimestral dela actualización al Plan de Continuidad "Análisis de Impacto Operacional."</t>
  </si>
  <si>
    <t>Presentación de la estrategia para la implementación de una sede alterna para el respaldo de la información, informe de avance de la implementación.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</si>
</sst>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9">
    <font>
      <sz val="10"/>
      <color theme="1"/>
      <name val="Geomanist"/>
      <family val="2"/>
    </font>
    <font>
      <sz val="11"/>
      <color theme="1"/>
      <name val="Calibri"/>
      <family val="2"/>
      <scheme val="minor"/>
    </font>
    <font>
      <sz val="10"/>
      <color theme="1"/>
      <name val="Noto Sans"/>
      <family val="2"/>
    </font>
    <font>
      <b/>
      <sz val="16"/>
      <color theme="0"/>
      <name val="Noto Sans"/>
      <family val="2"/>
    </font>
    <font>
      <sz val="10"/>
      <color theme="1"/>
      <name val="Geomanist"/>
      <family val="2"/>
    </font>
    <font>
      <sz val="11"/>
      <name val="Noto Sans"/>
      <family val="2"/>
    </font>
    <font>
      <sz val="11"/>
      <color theme="1"/>
      <name val="Noto Sans"/>
      <family val="2"/>
    </font>
    <font>
      <b/>
      <sz val="10"/>
      <color theme="0" tint="-4.9989318521683403E-2"/>
      <name val="Noto Sans"/>
      <family val="2"/>
    </font>
    <font>
      <b/>
      <sz val="12"/>
      <color theme="0" tint="-4.9989318521683403E-2"/>
      <name val="Noto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9F2241"/>
        <bgColor indexed="64"/>
      </patternFill>
    </fill>
    <fill>
      <patternFill patternType="solid">
        <fgColor rgb="FF10312B"/>
        <bgColor indexed="64"/>
      </patternFill>
    </fill>
    <fill>
      <patternFill patternType="solid">
        <fgColor rgb="FF235B4E"/>
        <bgColor indexed="64"/>
      </patternFill>
    </fill>
    <fill>
      <patternFill patternType="solid">
        <fgColor rgb="FFB38E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top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justify" vertical="top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justify" vertical="top" wrapText="1"/>
    </xf>
    <xf numFmtId="0" fontId="8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8" fillId="5" borderId="3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44" fontId="7" fillId="2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2 2" xfId="2" xr:uid="{00000000-0005-0000-0000-000003000000}"/>
  </cellStyles>
  <dxfs count="0"/>
  <tableStyles count="0" defaultTableStyle="TableStyleMedium2" defaultPivotStyle="PivotStyleLight16"/>
  <colors>
    <mruColors>
      <color rgb="FF9F2241"/>
      <color rgb="FF1031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F3" zoomScale="96" zoomScaleNormal="96" zoomScaleSheetLayoutView="70" workbookViewId="0">
      <selection activeCell="H6" sqref="H6"/>
    </sheetView>
  </sheetViews>
  <sheetFormatPr baseColWidth="10" defaultColWidth="11.42578125" defaultRowHeight="17.25"/>
  <cols>
    <col min="1" max="1" width="16.5703125" style="3" customWidth="1"/>
    <col min="2" max="2" width="29.7109375" style="2" customWidth="1"/>
    <col min="3" max="3" width="19.7109375" style="3" customWidth="1"/>
    <col min="4" max="4" width="68" style="2" customWidth="1"/>
    <col min="5" max="5" width="28.7109375" style="1" bestFit="1" customWidth="1"/>
    <col min="6" max="6" width="40" style="1" customWidth="1"/>
    <col min="7" max="7" width="48.85546875" style="1" customWidth="1"/>
    <col min="8" max="8" width="19" style="1" bestFit="1" customWidth="1"/>
    <col min="9" max="9" width="25.85546875" style="1" bestFit="1" customWidth="1"/>
    <col min="10" max="10" width="22.5703125" style="1" customWidth="1"/>
    <col min="11" max="11" width="20.140625" style="1" customWidth="1"/>
    <col min="12" max="12" width="19.140625" style="1" customWidth="1"/>
    <col min="13" max="13" width="20.42578125" style="1" customWidth="1"/>
    <col min="14" max="14" width="35.42578125" style="1" customWidth="1"/>
    <col min="15" max="15" width="52.140625" style="1" customWidth="1"/>
    <col min="16" max="16384" width="11.42578125" style="1"/>
  </cols>
  <sheetData>
    <row r="1" spans="1:15" ht="49.5" customHeight="1">
      <c r="A1" s="20" t="e" vm="1">
        <v>#VALUE!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88.5" customHeight="1">
      <c r="A2" s="20" t="s">
        <v>16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ht="27.75" customHeight="1" thickBot="1">
      <c r="A3" s="16" t="s">
        <v>17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ht="20.25" customHeight="1">
      <c r="A4" s="22" t="s">
        <v>2</v>
      </c>
      <c r="B4" s="22" t="s">
        <v>1</v>
      </c>
      <c r="C4" s="19" t="s">
        <v>0</v>
      </c>
      <c r="D4" s="19"/>
      <c r="E4" s="22" t="s">
        <v>3</v>
      </c>
      <c r="F4" s="21" t="s">
        <v>4</v>
      </c>
      <c r="G4" s="15" t="s">
        <v>5</v>
      </c>
      <c r="H4" s="15"/>
      <c r="I4" s="15"/>
      <c r="J4" s="15"/>
      <c r="K4" s="15"/>
      <c r="L4" s="15"/>
      <c r="M4" s="15"/>
      <c r="N4" s="17" t="s">
        <v>15</v>
      </c>
      <c r="O4" s="18"/>
    </row>
    <row r="5" spans="1:15" s="2" customFormat="1" ht="101.25">
      <c r="A5" s="22"/>
      <c r="B5" s="22"/>
      <c r="C5" s="19"/>
      <c r="D5" s="19"/>
      <c r="E5" s="22"/>
      <c r="F5" s="21"/>
      <c r="G5" s="7" t="s">
        <v>10</v>
      </c>
      <c r="H5" s="8" t="s">
        <v>6</v>
      </c>
      <c r="I5" s="8" t="s">
        <v>11</v>
      </c>
      <c r="J5" s="8" t="s">
        <v>12</v>
      </c>
      <c r="K5" s="8" t="s">
        <v>13</v>
      </c>
      <c r="L5" s="8" t="s">
        <v>14</v>
      </c>
      <c r="M5" s="7" t="s">
        <v>7</v>
      </c>
      <c r="N5" s="9" t="s">
        <v>8</v>
      </c>
      <c r="O5" s="10" t="s">
        <v>9</v>
      </c>
    </row>
    <row r="6" spans="1:15" s="2" customFormat="1" ht="103.5" customHeight="1">
      <c r="A6" s="13">
        <v>5.0999999999999996</v>
      </c>
      <c r="B6" s="14" t="s">
        <v>18</v>
      </c>
      <c r="C6" s="11" t="s">
        <v>20</v>
      </c>
      <c r="D6" s="12" t="s">
        <v>21</v>
      </c>
      <c r="E6" s="5" t="s">
        <v>32</v>
      </c>
      <c r="F6" s="6" t="s">
        <v>33</v>
      </c>
      <c r="G6" s="6"/>
      <c r="H6" s="23"/>
      <c r="I6" s="23"/>
      <c r="J6" s="23"/>
      <c r="K6" s="23"/>
      <c r="L6" s="23">
        <f>H6+I6+J6+K6</f>
        <v>0</v>
      </c>
      <c r="M6" s="6"/>
      <c r="N6" s="6"/>
      <c r="O6" s="6"/>
    </row>
    <row r="7" spans="1:15" s="2" customFormat="1" ht="58.5">
      <c r="A7" s="13"/>
      <c r="B7" s="14"/>
      <c r="C7" s="11" t="s">
        <v>22</v>
      </c>
      <c r="D7" s="12" t="s">
        <v>23</v>
      </c>
      <c r="E7" s="5" t="s">
        <v>32</v>
      </c>
      <c r="F7" s="6" t="s">
        <v>34</v>
      </c>
      <c r="G7" s="6"/>
      <c r="H7" s="23"/>
      <c r="I7" s="23"/>
      <c r="J7" s="23"/>
      <c r="K7" s="23"/>
      <c r="L7" s="23">
        <f t="shared" ref="L7:L11" si="0">H7+I7+J7+K7</f>
        <v>0</v>
      </c>
      <c r="M7" s="6"/>
      <c r="N7" s="6"/>
      <c r="O7" s="6"/>
    </row>
    <row r="8" spans="1:15" s="2" customFormat="1" ht="51.75">
      <c r="A8" s="13"/>
      <c r="B8" s="14"/>
      <c r="C8" s="11" t="s">
        <v>24</v>
      </c>
      <c r="D8" s="12" t="s">
        <v>25</v>
      </c>
      <c r="E8" s="5" t="s">
        <v>35</v>
      </c>
      <c r="F8" s="6" t="s">
        <v>36</v>
      </c>
      <c r="G8" s="6"/>
      <c r="H8" s="23"/>
      <c r="I8" s="23"/>
      <c r="J8" s="23"/>
      <c r="K8" s="23"/>
      <c r="L8" s="23">
        <f t="shared" si="0"/>
        <v>0</v>
      </c>
      <c r="M8" s="6"/>
      <c r="N8" s="6"/>
      <c r="O8" s="6"/>
    </row>
    <row r="9" spans="1:15" s="2" customFormat="1" ht="51.75">
      <c r="A9" s="13"/>
      <c r="B9" s="14"/>
      <c r="C9" s="11" t="s">
        <v>26</v>
      </c>
      <c r="D9" s="12" t="s">
        <v>27</v>
      </c>
      <c r="E9" s="5" t="s">
        <v>37</v>
      </c>
      <c r="F9" s="6" t="s">
        <v>38</v>
      </c>
      <c r="G9" s="6"/>
      <c r="H9" s="23"/>
      <c r="I9" s="23"/>
      <c r="J9" s="23"/>
      <c r="K9" s="23"/>
      <c r="L9" s="23">
        <f t="shared" si="0"/>
        <v>0</v>
      </c>
      <c r="M9" s="6"/>
      <c r="N9" s="6"/>
      <c r="O9" s="6"/>
    </row>
    <row r="10" spans="1:15" s="2" customFormat="1" ht="51.75">
      <c r="A10" s="13">
        <v>5.2</v>
      </c>
      <c r="B10" s="14" t="s">
        <v>19</v>
      </c>
      <c r="C10" s="11" t="s">
        <v>28</v>
      </c>
      <c r="D10" s="12" t="s">
        <v>29</v>
      </c>
      <c r="E10" s="5" t="s">
        <v>32</v>
      </c>
      <c r="F10" s="6" t="s">
        <v>39</v>
      </c>
      <c r="G10" s="6"/>
      <c r="H10" s="23"/>
      <c r="I10" s="23"/>
      <c r="J10" s="23"/>
      <c r="K10" s="23"/>
      <c r="L10" s="23">
        <f t="shared" si="0"/>
        <v>0</v>
      </c>
      <c r="M10" s="6"/>
      <c r="N10" s="6"/>
      <c r="O10" s="6"/>
    </row>
    <row r="11" spans="1:15" s="2" customFormat="1" ht="69">
      <c r="A11" s="13"/>
      <c r="B11" s="14"/>
      <c r="C11" s="11" t="s">
        <v>30</v>
      </c>
      <c r="D11" s="12" t="s">
        <v>31</v>
      </c>
      <c r="E11" s="5" t="s">
        <v>32</v>
      </c>
      <c r="F11" s="6" t="s">
        <v>40</v>
      </c>
      <c r="G11" s="6"/>
      <c r="H11" s="23"/>
      <c r="I11" s="23"/>
      <c r="J11" s="23"/>
      <c r="K11" s="23"/>
      <c r="L11" s="23">
        <f t="shared" si="0"/>
        <v>0</v>
      </c>
      <c r="M11" s="6"/>
      <c r="N11" s="6"/>
      <c r="O11" s="6"/>
    </row>
    <row r="12" spans="1:15" s="2" customFormat="1"/>
    <row r="13" spans="1:15" ht="172.5" customHeight="1">
      <c r="A13" s="1"/>
      <c r="C13" s="1"/>
      <c r="E13" s="4"/>
    </row>
    <row r="14" spans="1:15" ht="19.5">
      <c r="A14" s="1"/>
      <c r="C14" s="1"/>
      <c r="E14" s="4"/>
    </row>
    <row r="15" spans="1:15" ht="19.5">
      <c r="A15" s="1"/>
      <c r="C15" s="1"/>
      <c r="E15" s="4"/>
    </row>
    <row r="16" spans="1:15" ht="19.5">
      <c r="A16" s="1"/>
      <c r="C16" s="1"/>
      <c r="E16" s="4"/>
    </row>
    <row r="17" spans="1:5" ht="19.5">
      <c r="A17" s="1"/>
      <c r="C17" s="1"/>
      <c r="E17" s="4"/>
    </row>
    <row r="18" spans="1:5" ht="19.5">
      <c r="A18" s="1"/>
      <c r="C18" s="1"/>
      <c r="E18" s="4"/>
    </row>
    <row r="19" spans="1:5" ht="19.5">
      <c r="A19" s="1"/>
      <c r="C19" s="1"/>
      <c r="E19" s="4"/>
    </row>
    <row r="20" spans="1:5" ht="19.5">
      <c r="A20" s="1"/>
      <c r="C20" s="1"/>
      <c r="E20" s="4"/>
    </row>
    <row r="21" spans="1:5" ht="19.5">
      <c r="A21" s="1"/>
      <c r="C21" s="1"/>
      <c r="E21" s="4"/>
    </row>
    <row r="22" spans="1:5" ht="19.5">
      <c r="A22" s="1"/>
      <c r="C22" s="1"/>
      <c r="E22" s="4"/>
    </row>
    <row r="23" spans="1:5" ht="19.5">
      <c r="A23" s="1"/>
      <c r="C23" s="1"/>
      <c r="E23" s="4"/>
    </row>
    <row r="24" spans="1:5" ht="19.5">
      <c r="A24" s="1"/>
      <c r="C24" s="1"/>
      <c r="E24" s="4"/>
    </row>
    <row r="25" spans="1:5" ht="19.5">
      <c r="A25" s="1"/>
      <c r="C25" s="1"/>
      <c r="E25" s="4"/>
    </row>
    <row r="26" spans="1:5" ht="19.5">
      <c r="A26" s="1"/>
      <c r="C26" s="1"/>
      <c r="E26" s="4"/>
    </row>
  </sheetData>
  <protectedRanges>
    <protectedRange algorithmName="SHA-512" hashValue="S8v5eiIFjdeVMYduhWc4PeFrxq/YGYwJZyp5regJWAnV/vjZjxXes3jm2yH0OXq/4Kq5NiBE6Bls3cWtr4qeSw==" saltValue="rGBSI/5WODLL5XeCZnrs/w==" spinCount="100000" sqref="N5:O5 G4:M5" name="Rango1_1"/>
  </protectedRanges>
  <mergeCells count="14">
    <mergeCell ref="A3:O3"/>
    <mergeCell ref="N4:O4"/>
    <mergeCell ref="C4:D5"/>
    <mergeCell ref="A2:O2"/>
    <mergeCell ref="A1:O1"/>
    <mergeCell ref="F4:F5"/>
    <mergeCell ref="A4:A5"/>
    <mergeCell ref="B4:B5"/>
    <mergeCell ref="E4:E5"/>
    <mergeCell ref="A6:A9"/>
    <mergeCell ref="B6:B9"/>
    <mergeCell ref="A10:A11"/>
    <mergeCell ref="B10:B11"/>
    <mergeCell ref="G4:M4"/>
  </mergeCells>
  <printOptions horizontalCentered="1"/>
  <pageMargins left="0.23622047244094491" right="0.23622047244094491" top="0.74803149606299213" bottom="0.74803149606299213" header="0.31496062992125984" footer="0.31496062992125984"/>
  <pageSetup paperSize="5" scale="20" fitToHeight="3" orientation="landscape" r:id="rId1"/>
  <headerFooter>
    <oddFooter>&amp;C&amp;P de &amp;N&amp;RAxel Correa Garcia
07/04/2025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09c6a5b-6c4f-4f89-9e6d-7c759fd73f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19C915109FFB49B5F5B180217EA5E9" ma:contentTypeVersion="10" ma:contentTypeDescription="Crear nuevo documento." ma:contentTypeScope="" ma:versionID="d26940fa02d2535b67e0bbce6e35e40e">
  <xsd:schema xmlns:xsd="http://www.w3.org/2001/XMLSchema" xmlns:xs="http://www.w3.org/2001/XMLSchema" xmlns:p="http://schemas.microsoft.com/office/2006/metadata/properties" xmlns:ns3="d09c6a5b-6c4f-4f89-9e6d-7c759fd73fd1" targetNamespace="http://schemas.microsoft.com/office/2006/metadata/properties" ma:root="true" ma:fieldsID="c635b8d2b7afd8cb80ea5f895790479e" ns3:_="">
    <xsd:import namespace="d09c6a5b-6c4f-4f89-9e6d-7c759fd73f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c6a5b-6c4f-4f89-9e6d-7c759fd73f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191820-D2D5-496C-9A95-344EBAF1179A}">
  <ds:schemaRefs>
    <ds:schemaRef ds:uri="http://schemas.microsoft.com/office/2006/metadata/properties"/>
    <ds:schemaRef ds:uri="http://schemas.microsoft.com/office/infopath/2007/PartnerControls"/>
    <ds:schemaRef ds:uri="d09c6a5b-6c4f-4f89-9e6d-7c759fd73fd1"/>
  </ds:schemaRefs>
</ds:datastoreItem>
</file>

<file path=customXml/itemProps2.xml><?xml version="1.0" encoding="utf-8"?>
<ds:datastoreItem xmlns:ds="http://schemas.openxmlformats.org/officeDocument/2006/customXml" ds:itemID="{3F187867-304F-46F3-912A-FDE6C189EA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CBCD1C-2D8D-49F7-80FA-68F21CC66B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9c6a5b-6c4f-4f89-9e6d-7c759fd73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R5 </vt:lpstr>
      <vt:lpstr>'R5 '!Área_de_impresión</vt:lpstr>
      <vt:lpstr>'R5 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TELECOMM</dc:creator>
  <cp:keywords/>
  <dc:description/>
  <cp:lastModifiedBy>Nilsa Naiely Escudero Gálvez</cp:lastModifiedBy>
  <cp:revision/>
  <dcterms:created xsi:type="dcterms:W3CDTF">2025-05-26T17:01:38Z</dcterms:created>
  <dcterms:modified xsi:type="dcterms:W3CDTF">2026-03-10T20:13:36Z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0x0101003C19C915109FFB49B5F5B180217EA5E9</vt:lpwstr>
  </property>
</Properties>
</file>